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00fb3738f54b8ea/BoatRace/pg/"/>
    </mc:Choice>
  </mc:AlternateContent>
  <xr:revisionPtr revIDLastSave="231" documentId="8_{8CA06ECE-B74A-417E-B0C2-8BE99D72EB93}" xr6:coauthVersionLast="47" xr6:coauthVersionMax="47" xr10:uidLastSave="{3D70BC15-B105-4B49-A248-96535537A533}"/>
  <bookViews>
    <workbookView xWindow="6660" yWindow="3540" windowWidth="21600" windowHeight="11385" activeTab="1" xr2:uid="{00000000-000D-0000-FFFF-FFFF00000000}"/>
  </bookViews>
  <sheets>
    <sheet name="INPUTイメージ" sheetId="4" r:id="rId1"/>
    <sheet name="INPUT" sheetId="3" r:id="rId2"/>
    <sheet name="展示取り込み" sheetId="1" r:id="rId3"/>
    <sheet name="非表示" sheetId="2" r:id="rId4"/>
  </sheets>
  <functionGroups builtInGroupCount="19"/>
  <definedNames>
    <definedName name="_xlpm.cond" hidden="1" xlm="1">#NAME?</definedName>
    <definedName name="_xlpm.cut" hidden="1" xlm="1">#NAME?</definedName>
    <definedName name="_xlpm.head" hidden="1" xlm="1">#NAME?</definedName>
    <definedName name="_xlpm.mates" hidden="1" xlm="1">#NAME?</definedName>
    <definedName name="_xlpm.nums" hidden="1" xlm="1">#NAME?</definedName>
    <definedName name="_xlpm.rest" hidden="1" xlm="1">#NAME?</definedName>
    <definedName name="_xlpm.scores" hidden="1" xlm="1">#NAME?</definedName>
    <definedName name="_xlpm.sorted" hidden="1" xlm="1">#NAME?</definedName>
    <definedName name="_xlpm.used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3" l="1"/>
  <c r="E4" i="3"/>
  <c r="E3" i="3"/>
  <c r="D3" i="3" l="1"/>
  <c r="D12" i="1" l="1"/>
  <c r="E12" i="1"/>
  <c r="F12" i="1"/>
  <c r="G12" i="1"/>
  <c r="H12" i="1"/>
  <c r="C12" i="1"/>
  <c r="D11" i="1" l="1"/>
  <c r="E11" i="1"/>
  <c r="F11" i="1"/>
  <c r="G11" i="1"/>
  <c r="H11" i="1"/>
  <c r="D13" i="1"/>
  <c r="E13" i="1"/>
  <c r="F13" i="1"/>
  <c r="G13" i="1"/>
  <c r="H13" i="1"/>
  <c r="D14" i="1"/>
  <c r="E14" i="1"/>
  <c r="F14" i="1"/>
  <c r="G14" i="1"/>
  <c r="H14" i="1"/>
  <c r="D15" i="1"/>
  <c r="E15" i="1"/>
  <c r="F15" i="1"/>
  <c r="G15" i="1"/>
  <c r="H15" i="1"/>
  <c r="C13" i="1"/>
  <c r="C14" i="1"/>
  <c r="C15" i="1"/>
  <c r="C11" i="1"/>
  <c r="D10" i="1"/>
  <c r="E10" i="1"/>
  <c r="F10" i="1"/>
  <c r="G10" i="1"/>
  <c r="H10" i="1"/>
  <c r="C10" i="1"/>
  <c r="E3" i="1"/>
  <c r="E5" i="1"/>
  <c r="E4" i="1"/>
  <c r="D3" i="1" l="1"/>
  <c r="D8" i="1" s="1"/>
  <c r="F8" i="1" l="1"/>
  <c r="E8" i="1"/>
  <c r="G8" i="1"/>
  <c r="H8" i="1"/>
  <c r="C8" i="1"/>
</calcChain>
</file>

<file path=xl/sharedStrings.xml><?xml version="1.0" encoding="utf-8"?>
<sst xmlns="http://schemas.openxmlformats.org/spreadsheetml/2006/main" count="320" uniqueCount="203">
  <si>
    <t>■入力情報</t>
    <rPh sb="1" eb="3">
      <t>ニュウリョク</t>
    </rPh>
    <rPh sb="3" eb="5">
      <t>ジョウホウ</t>
    </rPh>
    <phoneticPr fontId="1"/>
  </si>
  <si>
    <t>日付</t>
    <rPh sb="0" eb="2">
      <t>ヒヅケ</t>
    </rPh>
    <phoneticPr fontId="1"/>
  </si>
  <si>
    <t>レース番号</t>
    <rPh sb="3" eb="5">
      <t>バンゴウ</t>
    </rPh>
    <phoneticPr fontId="1"/>
  </si>
  <si>
    <t>開催場所</t>
    <rPh sb="0" eb="4">
      <t>カイサイバショ</t>
    </rPh>
    <phoneticPr fontId="1"/>
  </si>
  <si>
    <t>01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</si>
  <si>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</si>
  <si>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</si>
  <si>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</si>
  <si>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</si>
  <si>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</si>
  <si>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</si>
  <si>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</si>
  <si>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</si>
  <si>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</si>
  <si>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</si>
  <si>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</si>
  <si>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AMG</t>
  </si>
  <si>
    <t>尼崎</t>
  </si>
  <si>
    <t>ASY</t>
  </si>
  <si>
    <t>芦屋</t>
  </si>
  <si>
    <t>BWK</t>
  </si>
  <si>
    <t>びわこ</t>
  </si>
  <si>
    <t>EDG</t>
  </si>
  <si>
    <t>江戸川</t>
  </si>
  <si>
    <t>FKO</t>
  </si>
  <si>
    <t>福岡</t>
  </si>
  <si>
    <t>GMG</t>
  </si>
  <si>
    <t>蒲郡</t>
  </si>
  <si>
    <t>HMN</t>
  </si>
  <si>
    <t>浜名湖</t>
  </si>
  <si>
    <t>HWJ</t>
  </si>
  <si>
    <t>平和島</t>
  </si>
  <si>
    <t>KJM</t>
  </si>
  <si>
    <t>児島</t>
  </si>
  <si>
    <t>KRT</t>
  </si>
  <si>
    <t>唐津</t>
  </si>
  <si>
    <t>KRY</t>
  </si>
  <si>
    <t>桐生</t>
  </si>
  <si>
    <t>MKN</t>
  </si>
  <si>
    <t>三国</t>
  </si>
  <si>
    <t>MRG</t>
  </si>
  <si>
    <t>丸亀</t>
  </si>
  <si>
    <t>MYJ</t>
  </si>
  <si>
    <t>宮島</t>
  </si>
  <si>
    <t>NRT</t>
  </si>
  <si>
    <t>鳴門</t>
  </si>
  <si>
    <t>OMR</t>
  </si>
  <si>
    <t>大村</t>
  </si>
  <si>
    <t>SME</t>
  </si>
  <si>
    <t>住之江</t>
  </si>
  <si>
    <t>SMS</t>
  </si>
  <si>
    <t>下関</t>
  </si>
  <si>
    <t>TDA</t>
  </si>
  <si>
    <t>戸田</t>
  </si>
  <si>
    <t>TKN</t>
  </si>
  <si>
    <t>常滑</t>
  </si>
  <si>
    <t>TKY</t>
  </si>
  <si>
    <t>徳山</t>
  </si>
  <si>
    <t>TMG</t>
  </si>
  <si>
    <t>多摩川</t>
  </si>
  <si>
    <t>TSU</t>
  </si>
  <si>
    <t>津</t>
  </si>
  <si>
    <t>WKM</t>
  </si>
  <si>
    <t>若松</t>
  </si>
  <si>
    <t>開催場所</t>
    <phoneticPr fontId="1"/>
  </si>
  <si>
    <t>レースコード</t>
    <phoneticPr fontId="1"/>
  </si>
  <si>
    <t>race_code</t>
  </si>
  <si>
    <t>entry_course</t>
  </si>
  <si>
    <t>player_id</t>
  </si>
  <si>
    <t>exhibition_time</t>
  </si>
  <si>
    <t>start_timing</t>
  </si>
  <si>
    <t>lap_time</t>
  </si>
  <si>
    <t>around_time</t>
  </si>
  <si>
    <t>straight_time</t>
  </si>
  <si>
    <t>■DB登録情報</t>
    <rPh sb="3" eb="5">
      <t>トウロク</t>
    </rPh>
    <rPh sb="5" eb="7">
      <t>ジョウホウ</t>
    </rPh>
    <phoneticPr fontId="1"/>
  </si>
  <si>
    <t>■コピペ内容</t>
    <rPh sb="4" eb="6">
      <t>ナイヨウ</t>
    </rPh>
    <phoneticPr fontId="1"/>
  </si>
  <si>
    <t>進入</t>
  </si>
  <si>
    <t>展示</t>
  </si>
  <si>
    <t>ST</t>
  </si>
  <si>
    <t>周回</t>
  </si>
  <si>
    <t>周り足</t>
  </si>
  <si>
    <t>直線</t>
  </si>
  <si>
    <t>選手番号</t>
    <rPh sb="0" eb="4">
      <t>センシュバンゴウ</t>
    </rPh>
    <phoneticPr fontId="1"/>
  </si>
  <si>
    <t>F.06</t>
  </si>
  <si>
    <t>艇番</t>
  </si>
  <si>
    <t>選手名</t>
  </si>
  <si>
    <t>勝率</t>
  </si>
  <si>
    <t>当地勝率</t>
  </si>
  <si>
    <t>モーター</t>
  </si>
  <si>
    <t>ボート</t>
  </si>
  <si>
    <t>級別</t>
  </si>
  <si>
    <t>支部</t>
  </si>
  <si>
    <t>勝率評価(10)</t>
  </si>
  <si>
    <t>当地評価(5)</t>
  </si>
  <si>
    <t>モーター評価(5)</t>
  </si>
  <si>
    <t>ボート評価(5)</t>
  </si>
  <si>
    <t>ST評価(5)</t>
  </si>
  <si>
    <t>地力スコア</t>
  </si>
  <si>
    <t>足スコア</t>
  </si>
  <si>
    <t>スタートスコア</t>
  </si>
  <si>
    <t>一次総合スコア</t>
  </si>
  <si>
    <t>タイプ分類</t>
  </si>
  <si>
    <t>一次評価</t>
  </si>
  <si>
    <t>中野　希一</t>
  </si>
  <si>
    <t>A1</t>
  </si>
  <si>
    <t>埼玉/</t>
  </si>
  <si>
    <t>石塚　久也</t>
  </si>
  <si>
    <t>A2</t>
  </si>
  <si>
    <t>中田　竜太</t>
  </si>
  <si>
    <t>佐藤　翼</t>
  </si>
  <si>
    <t>飛田　江己</t>
  </si>
  <si>
    <t>佐藤　航</t>
  </si>
  <si>
    <t>大前提：race_codeが全体を紐づけるもの。YYYYMMDD+場コード+レース番号となる。例:2026/1/25の大村1Rの場合→20260124OMR01</t>
    <rPh sb="0" eb="3">
      <t>ダイゼンテイ</t>
    </rPh>
    <rPh sb="14" eb="16">
      <t>ゼンタイ</t>
    </rPh>
    <rPh sb="17" eb="18">
      <t>ヒモ</t>
    </rPh>
    <rPh sb="33" eb="34">
      <t>ジョウ</t>
    </rPh>
    <rPh sb="41" eb="43">
      <t>バンゴウ</t>
    </rPh>
    <rPh sb="47" eb="48">
      <t>レイ</t>
    </rPh>
    <rPh sb="59" eb="61">
      <t>オオムラ</t>
    </rPh>
    <rPh sb="64" eb="66">
      <t>バアイ</t>
    </rPh>
    <phoneticPr fontId="1"/>
  </si>
  <si>
    <t>boat_race.race_entry</t>
  </si>
  <si>
    <t>lane_number</t>
  </si>
  <si>
    <t>player_name</t>
  </si>
  <si>
    <t>boat_race.player_stats</t>
  </si>
  <si>
    <t>national_win_rate</t>
  </si>
  <si>
    <t>local_win_rate</t>
  </si>
  <si>
    <t>boat_race.engine_specs</t>
  </si>
  <si>
    <t>motor_exacta_rate</t>
  </si>
  <si>
    <t>boat_exacta_rate</t>
  </si>
  <si>
    <t>boat_race.racer_results</t>
  </si>
  <si>
    <t>average_start</t>
  </si>
  <si>
    <t>term_infoが最新のものを対象</t>
    <rPh sb="10" eb="12">
      <t>サイシン</t>
    </rPh>
    <rPh sb="16" eb="18">
      <t>タイショウ</t>
    </rPh>
    <phoneticPr fontId="1"/>
  </si>
  <si>
    <t>今節ST偏差</t>
    <rPh sb="0" eb="2">
      <t>コンセツ</t>
    </rPh>
    <rPh sb="4" eb="6">
      <t>ヘンサ</t>
    </rPh>
    <phoneticPr fontId="1"/>
  </si>
  <si>
    <t>-</t>
  </si>
  <si>
    <t>不要</t>
    <rPh sb="0" eb="2">
      <t>フヨウ</t>
    </rPh>
    <phoneticPr fontId="1"/>
  </si>
  <si>
    <t>フライング</t>
  </si>
  <si>
    <t>未取得</t>
    <rPh sb="0" eb="3">
      <t>ミシュトク</t>
    </rPh>
    <phoneticPr fontId="1"/>
  </si>
  <si>
    <t>class</t>
  </si>
  <si>
    <t>branch</t>
  </si>
  <si>
    <t>数式</t>
    <rPh sb="0" eb="2">
      <t>スウシキ</t>
    </rPh>
    <phoneticPr fontId="1"/>
  </si>
  <si>
    <t>フライングスコア</t>
  </si>
  <si>
    <t>偏差ペナルティ</t>
  </si>
  <si>
    <t>ここに公式から出走表を張り付ける</t>
    <rPh sb="3" eb="5">
      <t>コウシキ</t>
    </rPh>
    <rPh sb="7" eb="10">
      <t>シュッソウヒョウ</t>
    </rPh>
    <rPh sb="11" eb="12">
      <t>ハ</t>
    </rPh>
    <rPh sb="13" eb="14">
      <t>ツ</t>
    </rPh>
    <phoneticPr fontId="1"/>
  </si>
  <si>
    <t>枠</t>
  </si>
  <si>
    <t>ボートレーサー</t>
  </si>
  <si>
    <t>全国</t>
  </si>
  <si>
    <t>当地</t>
  </si>
  <si>
    <t>レースNo（艇番色）</t>
  </si>
  <si>
    <t>早見</t>
  </si>
  <si>
    <t>進入コース</t>
  </si>
  <si>
    <t>STタイミング</t>
  </si>
  <si>
    <t>写真</t>
  </si>
  <si>
    <t>登録番号/級別</t>
  </si>
  <si>
    <t>F数</t>
  </si>
  <si>
    <t>No</t>
  </si>
  <si>
    <t>成績</t>
  </si>
  <si>
    <t>氏名</t>
  </si>
  <si>
    <t>L数</t>
  </si>
  <si>
    <t>2連率</t>
  </si>
  <si>
    <t>支部/出身地</t>
  </si>
  <si>
    <t>平均ST</t>
  </si>
  <si>
    <t>3連率</t>
  </si>
  <si>
    <t>年齢/体重</t>
  </si>
  <si>
    <t>初日</t>
  </si>
  <si>
    <t>２日目</t>
  </si>
  <si>
    <t>３日目</t>
  </si>
  <si>
    <t>４日目</t>
  </si>
  <si>
    <t>５日目</t>
  </si>
  <si>
    <t>最終日</t>
  </si>
  <si>
    <t>5132 / A1</t>
  </si>
  <si>
    <t>F0</t>
  </si>
  <si>
    <t>中野　　希一</t>
  </si>
  <si>
    <t>L0</t>
  </si>
  <si>
    <t>埼玉/埼玉</t>
  </si>
  <si>
    <t>26歳/52.9kg</t>
  </si>
  <si>
    <t>4144 / A2</t>
  </si>
  <si>
    <t>石塚　　久也</t>
  </si>
  <si>
    <t>44歳/52.0kg</t>
  </si>
  <si>
    <t>4547 / A1</t>
  </si>
  <si>
    <t>中田　　竜太</t>
  </si>
  <si>
    <t>埼玉/福島</t>
  </si>
  <si>
    <t>37歳/51.0kg</t>
  </si>
  <si>
    <t>4573 / A1</t>
  </si>
  <si>
    <t>佐藤　　　翼</t>
  </si>
  <si>
    <t>37歳/52.0kg</t>
  </si>
  <si>
    <t>5191 / A1</t>
  </si>
  <si>
    <t>飛田　　江己</t>
  </si>
  <si>
    <t>埼玉/東京</t>
  </si>
  <si>
    <t>24歳/52.0kg</t>
  </si>
  <si>
    <t>5087 / A2</t>
  </si>
  <si>
    <t>佐藤　　　航</t>
  </si>
  <si>
    <t>26歳/52.0kg</t>
  </si>
  <si>
    <t>今節成績</t>
  </si>
  <si>
    <t>モーター・ボート変更時は赤で表示されます。</t>
  </si>
  <si>
    <t>01</t>
  </si>
  <si>
    <t>■INPUT情報</t>
    <rPh sb="6" eb="8">
      <t>ジョウホウ</t>
    </rPh>
    <phoneticPr fontId="1"/>
  </si>
  <si>
    <t>屋良龍紀</t>
    <phoneticPr fontId="1"/>
  </si>
  <si>
    <t>B1</t>
    <phoneticPr fontId="1"/>
  </si>
  <si>
    <t>長崎</t>
    <phoneticPr fontId="1"/>
  </si>
  <si>
    <t>×</t>
  </si>
  <si>
    <t>大塚康雅</t>
    <phoneticPr fontId="1"/>
  </si>
  <si>
    <t>東京</t>
    <phoneticPr fontId="1"/>
  </si>
  <si>
    <t>△</t>
  </si>
  <si>
    <t>上田隆章</t>
    <phoneticPr fontId="1"/>
  </si>
  <si>
    <t>香川</t>
    <phoneticPr fontId="1"/>
  </si>
  <si>
    <t>山田和佐</t>
    <phoneticPr fontId="1"/>
  </si>
  <si>
    <t>広島</t>
    <phoneticPr fontId="1"/>
  </si>
  <si>
    <t>増本杏珠</t>
    <phoneticPr fontId="1"/>
  </si>
  <si>
    <t>福岡</t>
    <phoneticPr fontId="1"/>
  </si>
  <si>
    <t>大西隆洋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</si>
</sst>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mmdd"/>
  </numFmts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0" borderId="0" xfId="0" applyFont="1"/>
    <xf numFmtId="0" fontId="2" fillId="0" borderId="0" xfId="0" quotePrefix="1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14" fontId="2" fillId="0" borderId="2" xfId="0" applyNumberFormat="1" applyFont="1" applyBorder="1"/>
    <xf numFmtId="176" fontId="2" fillId="0" borderId="0" xfId="0" applyNumberFormat="1" applyFont="1"/>
    <xf numFmtId="0" fontId="2" fillId="0" borderId="1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0" fontId="2" fillId="0" borderId="5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17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18" xfId="0" applyFont="1" applyBorder="1"/>
    <xf numFmtId="0" fontId="2" fillId="0" borderId="19" xfId="0" applyFont="1" applyBorder="1"/>
    <xf numFmtId="0" fontId="2" fillId="0" borderId="0" xfId="0" applyFont="1" applyAlignment="1">
      <alignment vertical="center"/>
    </xf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2" fillId="0" borderId="33" xfId="0" applyFont="1" applyBorder="1"/>
    <xf numFmtId="0" fontId="2" fillId="0" borderId="34" xfId="0" applyFont="1" applyBorder="1"/>
    <xf numFmtId="0" fontId="2" fillId="0" borderId="35" xfId="0" applyFont="1" applyBorder="1"/>
    <xf numFmtId="0" fontId="2" fillId="0" borderId="36" xfId="0" applyFont="1" applyBorder="1"/>
    <xf numFmtId="0" fontId="2" fillId="0" borderId="37" xfId="0" applyFont="1" applyBorder="1" applyAlignment="1">
      <alignment wrapText="1"/>
    </xf>
    <xf numFmtId="0" fontId="2" fillId="0" borderId="38" xfId="0" applyFont="1" applyBorder="1" applyAlignment="1">
      <alignment wrapText="1"/>
    </xf>
    <xf numFmtId="0" fontId="2" fillId="0" borderId="39" xfId="0" applyFont="1" applyBorder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7</xdr:col>
      <xdr:colOff>561975</xdr:colOff>
      <xdr:row>4</xdr:row>
      <xdr:rowOff>19050</xdr:rowOff>
    </xdr:to>
    <xdr:sp macro="[0]!LoadInput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04520B6F-49C0-4478-BEE8-8BD62FDB8468}"/>
            </a:ext>
          </a:extLst>
        </xdr:cNvPr>
        <xdr:cNvSpPr/>
      </xdr:nvSpPr>
      <xdr:spPr>
        <a:xfrm>
          <a:off x="4562475" y="352425"/>
          <a:ext cx="1247775" cy="37147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実行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16</xdr:row>
      <xdr:rowOff>19050</xdr:rowOff>
    </xdr:from>
    <xdr:to>
      <xdr:col>2</xdr:col>
      <xdr:colOff>190500</xdr:colOff>
      <xdr:row>18</xdr:row>
      <xdr:rowOff>47625</xdr:rowOff>
    </xdr:to>
    <xdr:sp macro="[0]!SendExhibitionJsonFromCells" textlink="">
      <xdr:nvSpPr>
        <xdr:cNvPr id="2" name="正方形/長方形 1">
          <a:extLst>
            <a:ext uri="{FF2B5EF4-FFF2-40B4-BE49-F238E27FC236}">
              <a16:creationId xmlns:a16="http://schemas.microsoft.com/office/drawing/2014/main" id="{9EC08A58-8D9D-F426-3106-C72E51F75343}"/>
            </a:ext>
          </a:extLst>
        </xdr:cNvPr>
        <xdr:cNvSpPr/>
      </xdr:nvSpPr>
      <xdr:spPr>
        <a:xfrm>
          <a:off x="438150" y="2809875"/>
          <a:ext cx="1247775" cy="37147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DB</a:t>
          </a:r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登録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B0AFB-D542-44A2-BF62-7999BFEA6592}">
  <sheetPr codeName="Sheet3"/>
  <dimension ref="A1:Y144"/>
  <sheetViews>
    <sheetView topLeftCell="E1" workbookViewId="0">
      <selection activeCell="L2" sqref="L2"/>
    </sheetView>
  </sheetViews>
  <sheetFormatPr defaultRowHeight="13.5"/>
  <cols>
    <col min="1" max="1" width="9" style="1"/>
    <col min="2" max="2" width="13.25" style="1" customWidth="1"/>
    <col min="3" max="7" width="9" style="1"/>
    <col min="8" max="8" width="22.75" style="1" bestFit="1" customWidth="1"/>
    <col min="9" max="9" width="10.5" style="1" bestFit="1" customWidth="1"/>
    <col min="10" max="16384" width="9" style="1"/>
  </cols>
  <sheetData>
    <row r="1" spans="1:20" s="35" customFormat="1" ht="27">
      <c r="A1" s="32" t="s">
        <v>84</v>
      </c>
      <c r="B1" s="33" t="s">
        <v>85</v>
      </c>
      <c r="C1" s="33" t="s">
        <v>86</v>
      </c>
      <c r="D1" s="33" t="s">
        <v>87</v>
      </c>
      <c r="E1" s="33" t="s">
        <v>88</v>
      </c>
      <c r="F1" s="33" t="s">
        <v>89</v>
      </c>
      <c r="G1" s="33" t="s">
        <v>78</v>
      </c>
      <c r="H1" s="33" t="s">
        <v>90</v>
      </c>
      <c r="I1" s="33" t="s">
        <v>91</v>
      </c>
      <c r="J1" s="33" t="s">
        <v>92</v>
      </c>
      <c r="K1" s="33" t="s">
        <v>93</v>
      </c>
      <c r="L1" s="33" t="s">
        <v>94</v>
      </c>
      <c r="M1" s="33" t="s">
        <v>95</v>
      </c>
      <c r="N1" s="33" t="s">
        <v>96</v>
      </c>
      <c r="O1" s="33" t="s">
        <v>97</v>
      </c>
      <c r="P1" s="33" t="s">
        <v>98</v>
      </c>
      <c r="Q1" s="33" t="s">
        <v>99</v>
      </c>
      <c r="R1" s="33" t="s">
        <v>100</v>
      </c>
      <c r="S1" s="33" t="s">
        <v>101</v>
      </c>
      <c r="T1" s="34" t="s">
        <v>102</v>
      </c>
    </row>
    <row r="2" spans="1:20">
      <c r="A2" s="36">
        <v>1</v>
      </c>
      <c r="B2" s="11" t="s">
        <v>103</v>
      </c>
      <c r="C2" s="11">
        <v>6.93</v>
      </c>
      <c r="D2" s="11">
        <v>6.63</v>
      </c>
      <c r="E2" s="11">
        <v>34.58</v>
      </c>
      <c r="F2" s="11">
        <v>43.18</v>
      </c>
      <c r="G2" s="11">
        <v>0.13</v>
      </c>
      <c r="H2" s="11" t="s">
        <v>104</v>
      </c>
      <c r="I2" s="11" t="s">
        <v>105</v>
      </c>
      <c r="J2" s="11">
        <v>8.3159999999999989</v>
      </c>
      <c r="K2" s="11">
        <v>5</v>
      </c>
      <c r="L2" s="11">
        <v>2.3949999999999996</v>
      </c>
      <c r="M2" s="11">
        <v>4.5449999999999999</v>
      </c>
      <c r="N2" s="11">
        <v>4.0999999999999996</v>
      </c>
      <c r="O2" s="11">
        <v>13.315999999999999</v>
      </c>
      <c r="P2" s="11">
        <v>6.9399999999999995</v>
      </c>
      <c r="Q2" s="11">
        <v>4.0999999999999996</v>
      </c>
      <c r="R2" s="11" t="e">
        <v>#REF!</v>
      </c>
      <c r="S2" s="11" t="e">
        <v>#REF!</v>
      </c>
      <c r="T2" s="14" t="e">
        <v>#REF!</v>
      </c>
    </row>
    <row r="3" spans="1:20">
      <c r="A3" s="36">
        <v>2</v>
      </c>
      <c r="B3" s="11" t="s">
        <v>106</v>
      </c>
      <c r="C3" s="11">
        <v>5.78</v>
      </c>
      <c r="D3" s="11">
        <v>6.79</v>
      </c>
      <c r="E3" s="11">
        <v>32.43</v>
      </c>
      <c r="F3" s="11">
        <v>36.049999999999997</v>
      </c>
      <c r="G3" s="11">
        <v>0.19</v>
      </c>
      <c r="H3" s="11" t="s">
        <v>107</v>
      </c>
      <c r="I3" s="11" t="s">
        <v>105</v>
      </c>
      <c r="J3" s="11">
        <v>6.9359999999999999</v>
      </c>
      <c r="K3" s="11">
        <v>5</v>
      </c>
      <c r="L3" s="11">
        <v>1.8574999999999999</v>
      </c>
      <c r="M3" s="11">
        <v>2.7624999999999993</v>
      </c>
      <c r="N3" s="11">
        <v>2.2999999999999998</v>
      </c>
      <c r="O3" s="11">
        <v>11.936</v>
      </c>
      <c r="P3" s="11">
        <v>4.6199999999999992</v>
      </c>
      <c r="Q3" s="11">
        <v>2.2999999999999998</v>
      </c>
      <c r="R3" s="11" t="e">
        <v>#REF!</v>
      </c>
      <c r="S3" s="11" t="e">
        <v>#REF!</v>
      </c>
      <c r="T3" s="14" t="e">
        <v>#REF!</v>
      </c>
    </row>
    <row r="4" spans="1:20">
      <c r="A4" s="36">
        <v>3</v>
      </c>
      <c r="B4" s="11" t="s">
        <v>108</v>
      </c>
      <c r="C4" s="11">
        <v>6.21</v>
      </c>
      <c r="D4" s="11">
        <v>7.01</v>
      </c>
      <c r="E4" s="11">
        <v>32.93</v>
      </c>
      <c r="F4" s="11">
        <v>40.22</v>
      </c>
      <c r="G4" s="11">
        <v>0.15</v>
      </c>
      <c r="H4" s="11" t="s">
        <v>104</v>
      </c>
      <c r="I4" s="11" t="s">
        <v>105</v>
      </c>
      <c r="J4" s="11">
        <v>7.452</v>
      </c>
      <c r="K4" s="11">
        <v>5</v>
      </c>
      <c r="L4" s="11">
        <v>1.9824999999999999</v>
      </c>
      <c r="M4" s="11">
        <v>3.8049999999999997</v>
      </c>
      <c r="N4" s="11">
        <v>3.5</v>
      </c>
      <c r="O4" s="11">
        <v>12.452</v>
      </c>
      <c r="P4" s="11">
        <v>5.7874999999999996</v>
      </c>
      <c r="Q4" s="11">
        <v>3.5</v>
      </c>
      <c r="R4" s="11" t="e">
        <v>#REF!</v>
      </c>
      <c r="S4" s="11" t="e">
        <v>#REF!</v>
      </c>
      <c r="T4" s="14" t="e">
        <v>#REF!</v>
      </c>
    </row>
    <row r="5" spans="1:20">
      <c r="A5" s="36">
        <v>4</v>
      </c>
      <c r="B5" s="11" t="s">
        <v>109</v>
      </c>
      <c r="C5" s="11">
        <v>6.53</v>
      </c>
      <c r="D5" s="11">
        <v>7.93</v>
      </c>
      <c r="E5" s="11">
        <v>35</v>
      </c>
      <c r="F5" s="11">
        <v>31.03</v>
      </c>
      <c r="G5" s="11">
        <v>0.13</v>
      </c>
      <c r="H5" s="11" t="s">
        <v>104</v>
      </c>
      <c r="I5" s="11" t="s">
        <v>105</v>
      </c>
      <c r="J5" s="11">
        <v>7.8360000000000003</v>
      </c>
      <c r="K5" s="11">
        <v>5</v>
      </c>
      <c r="L5" s="11">
        <v>2.5</v>
      </c>
      <c r="M5" s="11">
        <v>1.5075000000000003</v>
      </c>
      <c r="N5" s="11">
        <v>4.0999999999999996</v>
      </c>
      <c r="O5" s="11">
        <v>12.836</v>
      </c>
      <c r="P5" s="11">
        <v>4.0075000000000003</v>
      </c>
      <c r="Q5" s="11">
        <v>4.0999999999999996</v>
      </c>
      <c r="R5" s="11" t="e">
        <v>#REF!</v>
      </c>
      <c r="S5" s="11" t="e">
        <v>#REF!</v>
      </c>
      <c r="T5" s="14" t="e">
        <v>#REF!</v>
      </c>
    </row>
    <row r="6" spans="1:20">
      <c r="A6" s="36">
        <v>5</v>
      </c>
      <c r="B6" s="11" t="s">
        <v>110</v>
      </c>
      <c r="C6" s="11">
        <v>6.61</v>
      </c>
      <c r="D6" s="11">
        <v>6.51</v>
      </c>
      <c r="E6" s="11">
        <v>40.21</v>
      </c>
      <c r="F6" s="11">
        <v>30.11</v>
      </c>
      <c r="G6" s="11">
        <v>0.13</v>
      </c>
      <c r="H6" s="11" t="s">
        <v>104</v>
      </c>
      <c r="I6" s="11" t="s">
        <v>105</v>
      </c>
      <c r="J6" s="11">
        <v>7.9320000000000004</v>
      </c>
      <c r="K6" s="11">
        <v>5</v>
      </c>
      <c r="L6" s="11">
        <v>3.8025000000000002</v>
      </c>
      <c r="M6" s="11">
        <v>1.2774999999999999</v>
      </c>
      <c r="N6" s="11">
        <v>4.0999999999999996</v>
      </c>
      <c r="O6" s="11">
        <v>12.932</v>
      </c>
      <c r="P6" s="11">
        <v>5.08</v>
      </c>
      <c r="Q6" s="11">
        <v>4.0999999999999996</v>
      </c>
      <c r="R6" s="11" t="e">
        <v>#REF!</v>
      </c>
      <c r="S6" s="11" t="e">
        <v>#REF!</v>
      </c>
      <c r="T6" s="14" t="e">
        <v>#REF!</v>
      </c>
    </row>
    <row r="7" spans="1:20" ht="14.25" thickBot="1">
      <c r="A7" s="37">
        <v>6</v>
      </c>
      <c r="B7" s="15" t="s">
        <v>111</v>
      </c>
      <c r="C7" s="15">
        <v>6.22</v>
      </c>
      <c r="D7" s="15">
        <v>5.57</v>
      </c>
      <c r="E7" s="15">
        <v>41.58</v>
      </c>
      <c r="F7" s="15">
        <v>45.05</v>
      </c>
      <c r="G7" s="15">
        <v>0.15</v>
      </c>
      <c r="H7" s="15" t="s">
        <v>107</v>
      </c>
      <c r="I7" s="15" t="s">
        <v>105</v>
      </c>
      <c r="J7" s="15">
        <v>7.4639999999999995</v>
      </c>
      <c r="K7" s="15">
        <v>3.1400000000000006</v>
      </c>
      <c r="L7" s="15">
        <v>4.1449999999999996</v>
      </c>
      <c r="M7" s="15">
        <v>5</v>
      </c>
      <c r="N7" s="15">
        <v>3.5</v>
      </c>
      <c r="O7" s="15">
        <v>10.603999999999999</v>
      </c>
      <c r="P7" s="15">
        <v>9.1449999999999996</v>
      </c>
      <c r="Q7" s="15">
        <v>3.5</v>
      </c>
      <c r="R7" s="15" t="e">
        <v>#REF!</v>
      </c>
      <c r="S7" s="15" t="e">
        <v>#REF!</v>
      </c>
      <c r="T7" s="16" t="e">
        <v>#REF!</v>
      </c>
    </row>
    <row r="9" spans="1:20">
      <c r="A9" s="1" t="s">
        <v>112</v>
      </c>
    </row>
    <row r="10" spans="1:20">
      <c r="A10" s="1" t="s">
        <v>84</v>
      </c>
      <c r="B10" s="1" t="s">
        <v>113</v>
      </c>
      <c r="C10" s="1" t="s">
        <v>114</v>
      </c>
    </row>
    <row r="11" spans="1:20">
      <c r="A11" s="1" t="s">
        <v>85</v>
      </c>
      <c r="B11" s="1" t="s">
        <v>113</v>
      </c>
      <c r="C11" s="1" t="s">
        <v>115</v>
      </c>
    </row>
    <row r="12" spans="1:20">
      <c r="A12" s="1" t="s">
        <v>86</v>
      </c>
      <c r="B12" s="1" t="s">
        <v>116</v>
      </c>
      <c r="C12" s="38" t="s">
        <v>117</v>
      </c>
    </row>
    <row r="13" spans="1:20">
      <c r="A13" s="1" t="s">
        <v>87</v>
      </c>
      <c r="B13" s="1" t="s">
        <v>116</v>
      </c>
      <c r="C13" s="38" t="s">
        <v>118</v>
      </c>
    </row>
    <row r="14" spans="1:20">
      <c r="A14" s="1" t="s">
        <v>88</v>
      </c>
      <c r="B14" s="38" t="s">
        <v>119</v>
      </c>
      <c r="C14" s="38" t="s">
        <v>120</v>
      </c>
    </row>
    <row r="15" spans="1:20">
      <c r="A15" s="1" t="s">
        <v>89</v>
      </c>
      <c r="B15" s="38" t="s">
        <v>119</v>
      </c>
      <c r="C15" s="38" t="s">
        <v>121</v>
      </c>
    </row>
    <row r="16" spans="1:20">
      <c r="A16" s="1" t="s">
        <v>78</v>
      </c>
      <c r="B16" s="1" t="s">
        <v>122</v>
      </c>
      <c r="C16" s="1" t="s">
        <v>123</v>
      </c>
      <c r="D16" s="38" t="s">
        <v>124</v>
      </c>
    </row>
    <row r="17" spans="1:4">
      <c r="A17" s="1" t="s">
        <v>125</v>
      </c>
      <c r="B17" s="1" t="s">
        <v>126</v>
      </c>
      <c r="C17" s="1" t="s">
        <v>126</v>
      </c>
      <c r="D17" s="1" t="s">
        <v>127</v>
      </c>
    </row>
    <row r="18" spans="1:4">
      <c r="A18" s="1" t="s">
        <v>128</v>
      </c>
      <c r="B18" s="1" t="s">
        <v>126</v>
      </c>
      <c r="C18" s="1" t="s">
        <v>126</v>
      </c>
      <c r="D18" s="1" t="s">
        <v>129</v>
      </c>
    </row>
    <row r="19" spans="1:4">
      <c r="A19" s="1" t="s">
        <v>90</v>
      </c>
      <c r="B19" s="1" t="s">
        <v>122</v>
      </c>
      <c r="C19" s="1" t="s">
        <v>130</v>
      </c>
      <c r="D19" s="38" t="s">
        <v>124</v>
      </c>
    </row>
    <row r="20" spans="1:4">
      <c r="A20" s="1" t="s">
        <v>91</v>
      </c>
      <c r="B20" s="1" t="s">
        <v>122</v>
      </c>
      <c r="C20" s="1" t="s">
        <v>131</v>
      </c>
      <c r="D20" s="38" t="s">
        <v>124</v>
      </c>
    </row>
    <row r="21" spans="1:4">
      <c r="A21" s="1" t="s">
        <v>92</v>
      </c>
      <c r="B21" s="1" t="s">
        <v>132</v>
      </c>
    </row>
    <row r="22" spans="1:4">
      <c r="A22" s="1" t="s">
        <v>93</v>
      </c>
      <c r="B22" s="1" t="s">
        <v>132</v>
      </c>
    </row>
    <row r="23" spans="1:4">
      <c r="A23" s="1" t="s">
        <v>94</v>
      </c>
      <c r="B23" s="1" t="s">
        <v>132</v>
      </c>
    </row>
    <row r="24" spans="1:4">
      <c r="A24" s="1" t="s">
        <v>95</v>
      </c>
      <c r="B24" s="1" t="s">
        <v>132</v>
      </c>
    </row>
    <row r="25" spans="1:4">
      <c r="A25" s="1" t="s">
        <v>96</v>
      </c>
      <c r="B25" s="1" t="s">
        <v>132</v>
      </c>
    </row>
    <row r="26" spans="1:4">
      <c r="A26" s="1" t="s">
        <v>97</v>
      </c>
      <c r="B26" s="1" t="s">
        <v>132</v>
      </c>
    </row>
    <row r="27" spans="1:4">
      <c r="A27" s="1" t="s">
        <v>98</v>
      </c>
      <c r="B27" s="1" t="s">
        <v>132</v>
      </c>
    </row>
    <row r="28" spans="1:4">
      <c r="A28" s="1" t="s">
        <v>99</v>
      </c>
      <c r="B28" s="1" t="s">
        <v>132</v>
      </c>
    </row>
    <row r="29" spans="1:4">
      <c r="A29" s="1" t="s">
        <v>133</v>
      </c>
      <c r="B29" s="1" t="s">
        <v>132</v>
      </c>
      <c r="D29" s="1" t="s">
        <v>127</v>
      </c>
    </row>
    <row r="30" spans="1:4">
      <c r="A30" s="1" t="s">
        <v>134</v>
      </c>
      <c r="B30" s="1" t="s">
        <v>132</v>
      </c>
      <c r="D30" s="1" t="s">
        <v>127</v>
      </c>
    </row>
    <row r="31" spans="1:4">
      <c r="A31" s="1" t="s">
        <v>100</v>
      </c>
      <c r="B31" s="1" t="s">
        <v>132</v>
      </c>
    </row>
    <row r="32" spans="1:4">
      <c r="A32" s="1" t="s">
        <v>101</v>
      </c>
      <c r="B32" s="1" t="s">
        <v>132</v>
      </c>
    </row>
    <row r="33" spans="1:2">
      <c r="A33" s="1" t="s">
        <v>102</v>
      </c>
      <c r="B33" s="1" t="s">
        <v>132</v>
      </c>
    </row>
    <row r="110" spans="1:25">
      <c r="A110" s="1" t="s">
        <v>135</v>
      </c>
    </row>
    <row r="111" spans="1:25" ht="14.25" thickBot="1"/>
    <row r="112" spans="1:25">
      <c r="A112" s="39" t="s">
        <v>136</v>
      </c>
      <c r="B112" s="40" t="s">
        <v>137</v>
      </c>
      <c r="C112" s="40"/>
      <c r="D112" s="40"/>
      <c r="E112" s="40" t="s">
        <v>138</v>
      </c>
      <c r="F112" s="40" t="s">
        <v>139</v>
      </c>
      <c r="G112" s="40" t="s">
        <v>88</v>
      </c>
      <c r="H112" s="40" t="s">
        <v>89</v>
      </c>
      <c r="I112" s="40"/>
      <c r="J112" s="40" t="s">
        <v>140</v>
      </c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 t="s">
        <v>141</v>
      </c>
      <c r="Y112" s="41"/>
    </row>
    <row r="113" spans="1:25">
      <c r="A113" s="42"/>
      <c r="J113" s="1" t="s">
        <v>142</v>
      </c>
      <c r="Y113" s="43"/>
    </row>
    <row r="114" spans="1:25">
      <c r="A114" s="42"/>
      <c r="J114" s="1" t="s">
        <v>143</v>
      </c>
      <c r="Y114" s="43"/>
    </row>
    <row r="115" spans="1:25">
      <c r="A115" s="42"/>
      <c r="B115" s="1" t="s">
        <v>144</v>
      </c>
      <c r="C115" s="1" t="s">
        <v>145</v>
      </c>
      <c r="D115" s="1" t="s">
        <v>146</v>
      </c>
      <c r="E115" s="1" t="s">
        <v>86</v>
      </c>
      <c r="F115" s="1" t="s">
        <v>86</v>
      </c>
      <c r="G115" s="1" t="s">
        <v>147</v>
      </c>
      <c r="H115" s="1" t="s">
        <v>147</v>
      </c>
      <c r="J115" s="1" t="s">
        <v>148</v>
      </c>
      <c r="Y115" s="43"/>
    </row>
    <row r="116" spans="1:25">
      <c r="A116" s="42"/>
      <c r="C116" s="1" t="s">
        <v>149</v>
      </c>
      <c r="D116" s="1" t="s">
        <v>150</v>
      </c>
      <c r="E116" s="1" t="s">
        <v>151</v>
      </c>
      <c r="F116" s="1" t="s">
        <v>151</v>
      </c>
      <c r="G116" s="1" t="s">
        <v>151</v>
      </c>
      <c r="H116" s="1" t="s">
        <v>151</v>
      </c>
      <c r="Y116" s="43"/>
    </row>
    <row r="117" spans="1:25">
      <c r="A117" s="42"/>
      <c r="C117" s="1" t="s">
        <v>152</v>
      </c>
      <c r="D117" s="1" t="s">
        <v>153</v>
      </c>
      <c r="E117" s="1" t="s">
        <v>154</v>
      </c>
      <c r="F117" s="1" t="s">
        <v>154</v>
      </c>
      <c r="G117" s="1" t="s">
        <v>154</v>
      </c>
      <c r="H117" s="1" t="s">
        <v>154</v>
      </c>
      <c r="Y117" s="43"/>
    </row>
    <row r="118" spans="1:25">
      <c r="A118" s="42"/>
      <c r="C118" s="1" t="s">
        <v>155</v>
      </c>
      <c r="J118" s="1" t="s">
        <v>156</v>
      </c>
      <c r="L118" s="1" t="s">
        <v>157</v>
      </c>
      <c r="N118" s="1" t="s">
        <v>158</v>
      </c>
      <c r="P118" s="1" t="s">
        <v>159</v>
      </c>
      <c r="R118" s="1" t="s">
        <v>160</v>
      </c>
      <c r="T118" s="1" t="s">
        <v>161</v>
      </c>
      <c r="Y118" s="43"/>
    </row>
    <row r="119" spans="1:25">
      <c r="A119" s="42">
        <v>1</v>
      </c>
      <c r="C119" s="1" t="s">
        <v>162</v>
      </c>
      <c r="D119" s="1" t="s">
        <v>163</v>
      </c>
      <c r="E119" s="1">
        <v>6.93</v>
      </c>
      <c r="F119" s="1">
        <v>6.63</v>
      </c>
      <c r="G119" s="1">
        <v>2</v>
      </c>
      <c r="H119" s="1">
        <v>34</v>
      </c>
      <c r="J119" s="1">
        <v>4</v>
      </c>
      <c r="K119" s="1">
        <v>10</v>
      </c>
      <c r="L119" s="1">
        <v>2</v>
      </c>
      <c r="M119" s="1">
        <v>12</v>
      </c>
      <c r="N119" s="1">
        <v>7</v>
      </c>
      <c r="P119" s="1">
        <v>5</v>
      </c>
      <c r="Q119" s="1">
        <v>12</v>
      </c>
      <c r="R119" s="1">
        <v>12</v>
      </c>
      <c r="Y119" s="43"/>
    </row>
    <row r="120" spans="1:25">
      <c r="A120" s="42"/>
      <c r="C120" s="1" t="s">
        <v>164</v>
      </c>
      <c r="D120" s="1" t="s">
        <v>165</v>
      </c>
      <c r="E120" s="1">
        <v>53.51</v>
      </c>
      <c r="F120" s="1">
        <v>53.77</v>
      </c>
      <c r="G120" s="1">
        <v>34.58</v>
      </c>
      <c r="H120" s="1">
        <v>43.18</v>
      </c>
      <c r="J120" s="1">
        <v>3</v>
      </c>
      <c r="K120" s="1">
        <v>1</v>
      </c>
      <c r="L120" s="1">
        <v>5</v>
      </c>
      <c r="M120" s="1">
        <v>6</v>
      </c>
      <c r="N120" s="1">
        <v>4</v>
      </c>
      <c r="P120" s="1">
        <v>2</v>
      </c>
      <c r="Q120" s="1">
        <v>3</v>
      </c>
      <c r="R120" s="1">
        <v>1</v>
      </c>
      <c r="Y120" s="43"/>
    </row>
    <row r="121" spans="1:25">
      <c r="A121" s="42"/>
      <c r="C121" s="1" t="s">
        <v>166</v>
      </c>
      <c r="D121" s="1">
        <v>0.13</v>
      </c>
      <c r="E121" s="1">
        <v>74.56</v>
      </c>
      <c r="F121" s="1">
        <v>69.81</v>
      </c>
      <c r="G121" s="1">
        <v>45.79</v>
      </c>
      <c r="H121" s="1">
        <v>57.95</v>
      </c>
      <c r="J121" s="1">
        <v>0.02</v>
      </c>
      <c r="K121" s="1">
        <v>0.16</v>
      </c>
      <c r="L121" s="1">
        <v>0.1</v>
      </c>
      <c r="M121" s="1">
        <v>0.1</v>
      </c>
      <c r="N121" s="1">
        <v>7.0000000000000007E-2</v>
      </c>
      <c r="P121" s="1">
        <v>0.1</v>
      </c>
      <c r="Q121" s="1">
        <v>0.14000000000000001</v>
      </c>
      <c r="R121" s="1">
        <v>0.12</v>
      </c>
      <c r="Y121" s="43"/>
    </row>
    <row r="122" spans="1:25">
      <c r="A122" s="42"/>
      <c r="C122" s="1" t="s">
        <v>167</v>
      </c>
      <c r="J122" s="1">
        <v>1</v>
      </c>
      <c r="K122" s="1">
        <v>2</v>
      </c>
      <c r="L122" s="1">
        <v>1</v>
      </c>
      <c r="M122" s="1">
        <v>3</v>
      </c>
      <c r="N122" s="1">
        <v>2</v>
      </c>
      <c r="P122" s="1">
        <v>3</v>
      </c>
      <c r="Q122" s="1">
        <v>1</v>
      </c>
      <c r="R122" s="1">
        <v>1</v>
      </c>
      <c r="Y122" s="43"/>
    </row>
    <row r="123" spans="1:25">
      <c r="A123" s="42">
        <v>2</v>
      </c>
      <c r="C123" s="1" t="s">
        <v>168</v>
      </c>
      <c r="D123" s="1" t="s">
        <v>163</v>
      </c>
      <c r="E123" s="1">
        <v>5.78</v>
      </c>
      <c r="F123" s="1">
        <v>6.79</v>
      </c>
      <c r="G123" s="1">
        <v>26</v>
      </c>
      <c r="H123" s="1">
        <v>59</v>
      </c>
      <c r="J123" s="1">
        <v>9</v>
      </c>
      <c r="L123" s="1">
        <v>3</v>
      </c>
      <c r="M123" s="1">
        <v>7</v>
      </c>
      <c r="N123" s="1">
        <v>8</v>
      </c>
      <c r="P123" s="1">
        <v>6</v>
      </c>
      <c r="Q123" s="1">
        <v>12</v>
      </c>
      <c r="R123" s="1">
        <v>11</v>
      </c>
      <c r="Y123" s="43"/>
    </row>
    <row r="124" spans="1:25">
      <c r="A124" s="42"/>
      <c r="C124" s="1" t="s">
        <v>169</v>
      </c>
      <c r="D124" s="1" t="s">
        <v>165</v>
      </c>
      <c r="E124" s="1">
        <v>42.05</v>
      </c>
      <c r="F124" s="1">
        <v>52.38</v>
      </c>
      <c r="G124" s="1">
        <v>32.43</v>
      </c>
      <c r="H124" s="1">
        <v>36.049999999999997</v>
      </c>
      <c r="J124" s="1">
        <v>5</v>
      </c>
      <c r="L124" s="1">
        <v>3</v>
      </c>
      <c r="M124" s="1">
        <v>1</v>
      </c>
      <c r="N124" s="1">
        <v>2</v>
      </c>
      <c r="P124" s="1">
        <v>4</v>
      </c>
      <c r="Q124" s="1">
        <v>5</v>
      </c>
      <c r="R124" s="1">
        <v>1</v>
      </c>
      <c r="Y124" s="43"/>
    </row>
    <row r="125" spans="1:25">
      <c r="A125" s="42"/>
      <c r="C125" s="1" t="s">
        <v>166</v>
      </c>
      <c r="D125" s="1">
        <v>0.19</v>
      </c>
      <c r="E125" s="1">
        <v>61.36</v>
      </c>
      <c r="F125" s="1">
        <v>68.569999999999993</v>
      </c>
      <c r="G125" s="1">
        <v>55.86</v>
      </c>
      <c r="H125" s="1">
        <v>45.35</v>
      </c>
      <c r="J125" s="1">
        <v>0.13</v>
      </c>
      <c r="L125" s="1">
        <v>0.18</v>
      </c>
      <c r="M125" s="1">
        <v>0.28999999999999998</v>
      </c>
      <c r="N125" s="1">
        <v>0.2</v>
      </c>
      <c r="P125" s="1">
        <v>0.17</v>
      </c>
      <c r="Q125" s="1">
        <v>0.17</v>
      </c>
      <c r="R125" s="1">
        <v>7.0000000000000007E-2</v>
      </c>
      <c r="Y125" s="43"/>
    </row>
    <row r="126" spans="1:25">
      <c r="A126" s="42"/>
      <c r="C126" s="1" t="s">
        <v>170</v>
      </c>
      <c r="J126" s="1">
        <v>2</v>
      </c>
      <c r="L126" s="1">
        <v>1</v>
      </c>
      <c r="M126" s="1">
        <v>1</v>
      </c>
      <c r="N126" s="1">
        <v>2</v>
      </c>
      <c r="P126" s="1">
        <v>2</v>
      </c>
      <c r="Q126" s="1">
        <v>2</v>
      </c>
      <c r="R126" s="1">
        <v>1</v>
      </c>
      <c r="Y126" s="43"/>
    </row>
    <row r="127" spans="1:25">
      <c r="A127" s="42">
        <v>3</v>
      </c>
      <c r="C127" s="1" t="s">
        <v>171</v>
      </c>
      <c r="D127" s="1" t="s">
        <v>163</v>
      </c>
      <c r="E127" s="1">
        <v>6.21</v>
      </c>
      <c r="F127" s="1">
        <v>7.01</v>
      </c>
      <c r="G127" s="1">
        <v>62</v>
      </c>
      <c r="H127" s="1">
        <v>39</v>
      </c>
      <c r="J127" s="1">
        <v>8</v>
      </c>
      <c r="L127" s="1">
        <v>5</v>
      </c>
      <c r="M127" s="1">
        <v>12</v>
      </c>
      <c r="N127" s="1">
        <v>2</v>
      </c>
      <c r="O127" s="1">
        <v>11</v>
      </c>
      <c r="P127" s="1">
        <v>3</v>
      </c>
      <c r="Q127" s="1">
        <v>11</v>
      </c>
      <c r="R127" s="1">
        <v>10</v>
      </c>
      <c r="Y127" s="43"/>
    </row>
    <row r="128" spans="1:25">
      <c r="A128" s="42"/>
      <c r="C128" s="1" t="s">
        <v>172</v>
      </c>
      <c r="D128" s="1" t="s">
        <v>165</v>
      </c>
      <c r="E128" s="1">
        <v>36.049999999999997</v>
      </c>
      <c r="F128" s="1">
        <v>47.92</v>
      </c>
      <c r="G128" s="1">
        <v>32.93</v>
      </c>
      <c r="H128" s="1">
        <v>40.22</v>
      </c>
      <c r="J128" s="1">
        <v>4</v>
      </c>
      <c r="L128" s="1">
        <v>6</v>
      </c>
      <c r="M128" s="1">
        <v>2</v>
      </c>
      <c r="N128" s="1">
        <v>5</v>
      </c>
      <c r="O128" s="1">
        <v>1</v>
      </c>
      <c r="P128" s="1">
        <v>3</v>
      </c>
      <c r="Q128" s="1">
        <v>1</v>
      </c>
      <c r="R128" s="1">
        <v>1</v>
      </c>
      <c r="Y128" s="43"/>
    </row>
    <row r="129" spans="1:25">
      <c r="A129" s="42"/>
      <c r="C129" s="1" t="s">
        <v>173</v>
      </c>
      <c r="D129" s="1">
        <v>0.15</v>
      </c>
      <c r="E129" s="1">
        <v>50</v>
      </c>
      <c r="F129" s="1">
        <v>64.58</v>
      </c>
      <c r="G129" s="1">
        <v>47.56</v>
      </c>
      <c r="H129" s="1">
        <v>50</v>
      </c>
      <c r="J129" s="1">
        <v>0.16</v>
      </c>
      <c r="L129" s="1">
        <v>0.14000000000000001</v>
      </c>
      <c r="M129" s="1">
        <v>0.08</v>
      </c>
      <c r="N129" s="1">
        <v>0.16</v>
      </c>
      <c r="O129" s="1">
        <v>0.17</v>
      </c>
      <c r="P129" s="1">
        <v>0.11</v>
      </c>
      <c r="Q129" s="1">
        <v>0.17</v>
      </c>
      <c r="R129" s="1">
        <v>0.1</v>
      </c>
      <c r="Y129" s="43"/>
    </row>
    <row r="130" spans="1:25">
      <c r="A130" s="42"/>
      <c r="C130" s="1" t="s">
        <v>174</v>
      </c>
      <c r="J130" s="1">
        <v>3</v>
      </c>
      <c r="L130" s="1">
        <v>2</v>
      </c>
      <c r="M130" s="1">
        <v>5</v>
      </c>
      <c r="N130" s="1">
        <v>2</v>
      </c>
      <c r="O130" s="1">
        <v>1</v>
      </c>
      <c r="P130" s="1">
        <v>1</v>
      </c>
      <c r="Q130" s="1">
        <v>3</v>
      </c>
      <c r="R130" s="1">
        <v>1</v>
      </c>
      <c r="Y130" s="43"/>
    </row>
    <row r="131" spans="1:25">
      <c r="A131" s="42">
        <v>4</v>
      </c>
      <c r="C131" s="1" t="s">
        <v>175</v>
      </c>
      <c r="D131" s="1" t="s">
        <v>163</v>
      </c>
      <c r="E131" s="1">
        <v>6.53</v>
      </c>
      <c r="F131" s="1">
        <v>7.93</v>
      </c>
      <c r="G131" s="1">
        <v>23</v>
      </c>
      <c r="H131" s="1">
        <v>76</v>
      </c>
      <c r="J131" s="1">
        <v>4</v>
      </c>
      <c r="K131" s="1">
        <v>12</v>
      </c>
      <c r="L131" s="1">
        <v>6</v>
      </c>
      <c r="M131" s="1">
        <v>11</v>
      </c>
      <c r="N131" s="1">
        <v>5</v>
      </c>
      <c r="O131" s="1">
        <v>12</v>
      </c>
      <c r="P131" s="1">
        <v>11</v>
      </c>
      <c r="R131" s="1">
        <v>10</v>
      </c>
      <c r="Y131" s="43"/>
    </row>
    <row r="132" spans="1:25">
      <c r="A132" s="42"/>
      <c r="C132" s="1" t="s">
        <v>176</v>
      </c>
      <c r="D132" s="1" t="s">
        <v>165</v>
      </c>
      <c r="E132" s="1">
        <v>34.380000000000003</v>
      </c>
      <c r="F132" s="1">
        <v>54.39</v>
      </c>
      <c r="G132" s="1">
        <v>35</v>
      </c>
      <c r="H132" s="1">
        <v>31.03</v>
      </c>
      <c r="J132" s="1">
        <v>4</v>
      </c>
      <c r="K132" s="1">
        <v>2</v>
      </c>
      <c r="L132" s="1">
        <v>5</v>
      </c>
      <c r="M132" s="1">
        <v>3</v>
      </c>
      <c r="N132" s="1">
        <v>5</v>
      </c>
      <c r="O132" s="1">
        <v>1</v>
      </c>
      <c r="P132" s="1">
        <v>2</v>
      </c>
      <c r="R132" s="1">
        <v>2</v>
      </c>
      <c r="Y132" s="43"/>
    </row>
    <row r="133" spans="1:25">
      <c r="A133" s="42"/>
      <c r="C133" s="1" t="s">
        <v>166</v>
      </c>
      <c r="D133" s="1">
        <v>0.13</v>
      </c>
      <c r="E133" s="1">
        <v>54.17</v>
      </c>
      <c r="F133" s="1">
        <v>80.7</v>
      </c>
      <c r="G133" s="1">
        <v>52</v>
      </c>
      <c r="H133" s="1">
        <v>51.72</v>
      </c>
      <c r="J133" s="1">
        <v>0.04</v>
      </c>
      <c r="K133" s="1">
        <v>0.13</v>
      </c>
      <c r="L133" s="1">
        <v>0.15</v>
      </c>
      <c r="M133" s="1">
        <v>0.24</v>
      </c>
      <c r="N133" s="1">
        <v>0.11</v>
      </c>
      <c r="O133" s="1">
        <v>0.11</v>
      </c>
      <c r="P133" s="1">
        <v>7.0000000000000007E-2</v>
      </c>
      <c r="R133" s="1">
        <v>0.2</v>
      </c>
      <c r="Y133" s="43"/>
    </row>
    <row r="134" spans="1:25">
      <c r="A134" s="42"/>
      <c r="C134" s="1" t="s">
        <v>177</v>
      </c>
      <c r="J134" s="1">
        <v>3</v>
      </c>
      <c r="K134" s="1">
        <v>3</v>
      </c>
      <c r="L134" s="1">
        <v>3</v>
      </c>
      <c r="M134" s="1">
        <v>4</v>
      </c>
      <c r="N134" s="1">
        <v>3</v>
      </c>
      <c r="O134" s="1">
        <v>1</v>
      </c>
      <c r="P134" s="1">
        <v>1</v>
      </c>
      <c r="R134" s="1">
        <v>2</v>
      </c>
      <c r="Y134" s="43"/>
    </row>
    <row r="135" spans="1:25">
      <c r="A135" s="42">
        <v>5</v>
      </c>
      <c r="C135" s="1" t="s">
        <v>178</v>
      </c>
      <c r="D135" s="1" t="s">
        <v>163</v>
      </c>
      <c r="E135" s="1">
        <v>6.61</v>
      </c>
      <c r="F135" s="1">
        <v>6.51</v>
      </c>
      <c r="G135" s="1">
        <v>40</v>
      </c>
      <c r="H135" s="1">
        <v>47</v>
      </c>
      <c r="J135" s="1">
        <v>8</v>
      </c>
      <c r="K135" s="1">
        <v>12</v>
      </c>
      <c r="L135" s="1">
        <v>4</v>
      </c>
      <c r="M135" s="1">
        <v>10</v>
      </c>
      <c r="N135" s="1">
        <v>4</v>
      </c>
      <c r="O135" s="1">
        <v>8</v>
      </c>
      <c r="P135" s="1">
        <v>9</v>
      </c>
      <c r="R135" s="1">
        <v>11</v>
      </c>
      <c r="Y135" s="43"/>
    </row>
    <row r="136" spans="1:25">
      <c r="A136" s="42"/>
      <c r="C136" s="1" t="s">
        <v>179</v>
      </c>
      <c r="D136" s="1" t="s">
        <v>165</v>
      </c>
      <c r="E136" s="1">
        <v>44.53</v>
      </c>
      <c r="F136" s="1">
        <v>50</v>
      </c>
      <c r="G136" s="1">
        <v>40.21</v>
      </c>
      <c r="H136" s="1">
        <v>30.11</v>
      </c>
      <c r="J136" s="1">
        <v>5</v>
      </c>
      <c r="K136" s="1">
        <v>4</v>
      </c>
      <c r="L136" s="1">
        <v>3</v>
      </c>
      <c r="M136" s="1">
        <v>1</v>
      </c>
      <c r="N136" s="1">
        <v>2</v>
      </c>
      <c r="O136" s="1">
        <v>6</v>
      </c>
      <c r="P136" s="1">
        <v>3</v>
      </c>
      <c r="R136" s="1">
        <v>2</v>
      </c>
      <c r="Y136" s="43"/>
    </row>
    <row r="137" spans="1:25">
      <c r="A137" s="42"/>
      <c r="C137" s="1" t="s">
        <v>180</v>
      </c>
      <c r="D137" s="1">
        <v>0.13</v>
      </c>
      <c r="E137" s="1">
        <v>66.41</v>
      </c>
      <c r="F137" s="1">
        <v>63.77</v>
      </c>
      <c r="G137" s="1">
        <v>58.76</v>
      </c>
      <c r="H137" s="1">
        <v>45.16</v>
      </c>
      <c r="J137" s="1">
        <v>0.11</v>
      </c>
      <c r="K137" s="1">
        <v>0.13</v>
      </c>
      <c r="L137" s="1">
        <v>0.12</v>
      </c>
      <c r="M137" s="1">
        <v>0.11</v>
      </c>
      <c r="N137" s="1">
        <v>0.17</v>
      </c>
      <c r="O137" s="1">
        <v>0.12</v>
      </c>
      <c r="P137" s="1">
        <v>0.09</v>
      </c>
      <c r="R137" s="1">
        <v>0.09</v>
      </c>
      <c r="Y137" s="43"/>
    </row>
    <row r="138" spans="1:25">
      <c r="A138" s="42"/>
      <c r="C138" s="1" t="s">
        <v>181</v>
      </c>
      <c r="J138" s="1">
        <v>1</v>
      </c>
      <c r="K138" s="1">
        <v>6</v>
      </c>
      <c r="L138" s="1">
        <v>1</v>
      </c>
      <c r="M138" s="1">
        <v>1</v>
      </c>
      <c r="N138" s="1">
        <v>5</v>
      </c>
      <c r="O138" s="1">
        <v>4</v>
      </c>
      <c r="P138" s="1">
        <v>1</v>
      </c>
      <c r="R138" s="1">
        <v>2</v>
      </c>
      <c r="Y138" s="43"/>
    </row>
    <row r="139" spans="1:25">
      <c r="A139" s="42">
        <v>6</v>
      </c>
      <c r="C139" s="1" t="s">
        <v>182</v>
      </c>
      <c r="D139" s="1" t="s">
        <v>163</v>
      </c>
      <c r="E139" s="1">
        <v>6.22</v>
      </c>
      <c r="F139" s="1">
        <v>5.57</v>
      </c>
      <c r="G139" s="1">
        <v>24</v>
      </c>
      <c r="H139" s="1">
        <v>75</v>
      </c>
      <c r="J139" s="1">
        <v>6</v>
      </c>
      <c r="K139" s="1">
        <v>10</v>
      </c>
      <c r="L139" s="1">
        <v>1</v>
      </c>
      <c r="M139" s="1">
        <v>6</v>
      </c>
      <c r="N139" s="1">
        <v>7</v>
      </c>
      <c r="P139" s="1">
        <v>8</v>
      </c>
      <c r="R139" s="1">
        <v>12</v>
      </c>
      <c r="Y139" s="43"/>
    </row>
    <row r="140" spans="1:25">
      <c r="A140" s="42"/>
      <c r="C140" s="1" t="s">
        <v>183</v>
      </c>
      <c r="D140" s="1" t="s">
        <v>165</v>
      </c>
      <c r="E140" s="1">
        <v>45.65</v>
      </c>
      <c r="F140" s="1">
        <v>30.95</v>
      </c>
      <c r="G140" s="1">
        <v>41.58</v>
      </c>
      <c r="H140" s="1">
        <v>45.05</v>
      </c>
      <c r="J140" s="1">
        <v>1</v>
      </c>
      <c r="K140" s="1">
        <v>4</v>
      </c>
      <c r="L140" s="1">
        <v>6</v>
      </c>
      <c r="M140" s="1">
        <v>2</v>
      </c>
      <c r="N140" s="1">
        <v>3</v>
      </c>
      <c r="P140" s="1">
        <v>5</v>
      </c>
      <c r="R140" s="1">
        <v>6</v>
      </c>
      <c r="Y140" s="43"/>
    </row>
    <row r="141" spans="1:25">
      <c r="A141" s="42"/>
      <c r="C141" s="1" t="s">
        <v>166</v>
      </c>
      <c r="D141" s="1">
        <v>0.15</v>
      </c>
      <c r="E141" s="1">
        <v>66.3</v>
      </c>
      <c r="F141" s="1">
        <v>59.52</v>
      </c>
      <c r="G141" s="1">
        <v>55.45</v>
      </c>
      <c r="H141" s="1">
        <v>65.930000000000007</v>
      </c>
      <c r="J141" s="1">
        <v>0.2</v>
      </c>
      <c r="K141" s="1">
        <v>0.13</v>
      </c>
      <c r="L141" s="1">
        <v>0.19</v>
      </c>
      <c r="M141" s="1">
        <v>0.11</v>
      </c>
      <c r="N141" s="1">
        <v>0.09</v>
      </c>
      <c r="P141" s="1">
        <v>0.05</v>
      </c>
      <c r="R141" s="1">
        <v>7.0000000000000007E-2</v>
      </c>
      <c r="Y141" s="43"/>
    </row>
    <row r="142" spans="1:25">
      <c r="A142" s="42"/>
      <c r="C142" s="1" t="s">
        <v>184</v>
      </c>
      <c r="J142" s="1">
        <v>1</v>
      </c>
      <c r="K142" s="1">
        <v>4</v>
      </c>
      <c r="L142" s="1">
        <v>3</v>
      </c>
      <c r="M142" s="1">
        <v>5</v>
      </c>
      <c r="N142" s="1">
        <v>3</v>
      </c>
      <c r="P142" s="1">
        <v>2</v>
      </c>
      <c r="R142" s="1">
        <v>2</v>
      </c>
      <c r="Y142" s="43"/>
    </row>
    <row r="143" spans="1:25" ht="14.25" thickBot="1">
      <c r="A143" s="44" t="s">
        <v>185</v>
      </c>
      <c r="B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6"/>
    </row>
    <row r="144" spans="1:25">
      <c r="A144" s="1" t="s">
        <v>186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864C-A114-462D-A71F-13DF91F39678}">
  <sheetPr codeName="Sheet4"/>
  <dimension ref="A2:U14"/>
  <sheetViews>
    <sheetView tabSelected="1" topLeftCell="D1" workbookViewId="0">
      <selection activeCell="M5" sqref="M5"/>
    </sheetView>
  </sheetViews>
  <sheetFormatPr defaultRowHeight="13.5"/>
  <cols>
    <col min="1" max="1" width="4.75" style="1" customWidth="1"/>
    <col min="2" max="2" width="11.625" style="1" bestFit="1" customWidth="1"/>
    <col min="3" max="3" width="10.5" style="1" bestFit="1" customWidth="1"/>
    <col min="4" max="4" width="15" style="1" bestFit="1" customWidth="1"/>
    <col min="5" max="16384" width="9" style="1"/>
  </cols>
  <sheetData>
    <row r="2" spans="1:21" ht="14.25" thickBot="1">
      <c r="A2" s="1" t="s">
        <v>0</v>
      </c>
      <c r="D2" s="1" t="s">
        <v>65</v>
      </c>
    </row>
    <row r="3" spans="1:21" ht="14.25" thickBot="1">
      <c r="B3" s="5" t="s">
        <v>1</v>
      </c>
      <c r="C3" s="8">
        <v>46046</v>
      </c>
      <c r="D3" s="10" t="str">
        <f>E3&amp;E4&amp;E5</f>
        <v>20260124OMR01</v>
      </c>
      <c r="E3" s="9" t="str">
        <f>TEXT(C3,"yyyymmdd")</f>
        <v>20260124</v>
      </c>
    </row>
    <row r="4" spans="1:21">
      <c r="B4" s="6" t="s">
        <v>3</v>
      </c>
      <c r="C4" s="3" t="s">
        <v>47</v>
      </c>
      <c r="E4" s="1" t="str">
        <f>VLOOKUP(C4,非表示!D:E,2,FALSE)</f>
        <v>OMR</v>
      </c>
    </row>
    <row r="5" spans="1:21" ht="14.25" thickBot="1">
      <c r="B5" s="7" t="s">
        <v>2</v>
      </c>
      <c r="C5" s="4" t="s">
        <v>187</v>
      </c>
      <c r="E5" s="1" t="str">
        <f>C5</f>
        <v>01</v>
      </c>
    </row>
    <row r="7" spans="1:21" ht="14.25" thickBot="1">
      <c r="A7" s="1" t="s">
        <v>188</v>
      </c>
    </row>
    <row r="8" spans="1:21" ht="27.75" thickBot="1">
      <c r="B8" s="56" t="s">
        <v>84</v>
      </c>
      <c r="C8" s="57" t="s">
        <v>85</v>
      </c>
      <c r="D8" s="57" t="s">
        <v>86</v>
      </c>
      <c r="E8" s="57" t="s">
        <v>87</v>
      </c>
      <c r="F8" s="57" t="s">
        <v>88</v>
      </c>
      <c r="G8" s="57" t="s">
        <v>89</v>
      </c>
      <c r="H8" s="57" t="s">
        <v>78</v>
      </c>
      <c r="I8" s="57" t="s">
        <v>90</v>
      </c>
      <c r="J8" s="57" t="s">
        <v>91</v>
      </c>
      <c r="K8" s="57" t="s">
        <v>92</v>
      </c>
      <c r="L8" s="57" t="s">
        <v>93</v>
      </c>
      <c r="M8" s="57" t="s">
        <v>94</v>
      </c>
      <c r="N8" s="57" t="s">
        <v>95</v>
      </c>
      <c r="O8" s="57" t="s">
        <v>96</v>
      </c>
      <c r="P8" s="57" t="s">
        <v>97</v>
      </c>
      <c r="Q8" s="57" t="s">
        <v>98</v>
      </c>
      <c r="R8" s="57" t="s">
        <v>99</v>
      </c>
      <c r="S8" s="57" t="s">
        <v>100</v>
      </c>
      <c r="T8" s="57" t="s">
        <v>101</v>
      </c>
      <c r="U8" s="58" t="s">
        <v>102</v>
      </c>
    </row>
    <row r="9" spans="1:21" ht="14.25" thickTop="1">
      <c r="B9" s="47">
        <v>1</v>
      </c>
      <c r="C9" s="48" t="s">
        <v>189</v>
      </c>
      <c r="D9" s="48">
        <v>3.78</v>
      </c>
      <c r="E9" s="48">
        <v>3.59</v>
      </c>
      <c r="F9" s="48">
        <v>46.32</v>
      </c>
      <c r="G9" s="48">
        <v>39.42</v>
      </c>
      <c r="H9" s="48">
        <v>0.14000000000000001</v>
      </c>
      <c r="I9" s="48" t="s">
        <v>190</v>
      </c>
      <c r="J9" s="48" t="s">
        <v>191</v>
      </c>
      <c r="K9" s="48">
        <v>4.5359999999999996</v>
      </c>
      <c r="L9" s="48">
        <v>1</v>
      </c>
      <c r="M9" s="48">
        <v>5</v>
      </c>
      <c r="N9" s="48">
        <v>3.605</v>
      </c>
      <c r="O9" s="48">
        <v>3.8</v>
      </c>
      <c r="P9" s="48">
        <v>5.5359999999999996</v>
      </c>
      <c r="Q9" s="48">
        <v>8.6050000000000004</v>
      </c>
      <c r="R9" s="48">
        <v>3.8</v>
      </c>
      <c r="S9" s="48">
        <v>17.940999999999999</v>
      </c>
      <c r="T9" s="48">
        <v>6</v>
      </c>
      <c r="U9" s="49" t="s">
        <v>192</v>
      </c>
    </row>
    <row r="10" spans="1:21">
      <c r="B10" s="50">
        <v>2</v>
      </c>
      <c r="C10" s="51" t="s">
        <v>193</v>
      </c>
      <c r="D10" s="51">
        <v>4.87</v>
      </c>
      <c r="E10" s="51">
        <v>5.42</v>
      </c>
      <c r="F10" s="51">
        <v>33.33</v>
      </c>
      <c r="G10" s="51">
        <v>27.86</v>
      </c>
      <c r="H10" s="51">
        <v>0.18</v>
      </c>
      <c r="I10" s="51" t="s">
        <v>190</v>
      </c>
      <c r="J10" s="51" t="s">
        <v>194</v>
      </c>
      <c r="K10" s="51">
        <v>5.8440000000000003</v>
      </c>
      <c r="L10" s="51">
        <v>2.84</v>
      </c>
      <c r="M10" s="51">
        <v>2.0824999999999898</v>
      </c>
      <c r="N10" s="51">
        <v>1</v>
      </c>
      <c r="O10" s="51">
        <v>2.6</v>
      </c>
      <c r="P10" s="51">
        <v>8.6839999999999993</v>
      </c>
      <c r="Q10" s="51">
        <v>3.0824999999999898</v>
      </c>
      <c r="R10" s="51">
        <v>2.6</v>
      </c>
      <c r="S10" s="51">
        <v>14.3665</v>
      </c>
      <c r="T10" s="51">
        <v>15</v>
      </c>
      <c r="U10" s="52" t="s">
        <v>195</v>
      </c>
    </row>
    <row r="11" spans="1:21">
      <c r="B11" s="50">
        <v>3</v>
      </c>
      <c r="C11" s="51" t="s">
        <v>196</v>
      </c>
      <c r="D11" s="51">
        <v>4.5599999999999996</v>
      </c>
      <c r="E11" s="51">
        <v>0</v>
      </c>
      <c r="F11" s="51">
        <v>27.89</v>
      </c>
      <c r="G11" s="51">
        <v>34.53</v>
      </c>
      <c r="H11" s="51">
        <v>0.19</v>
      </c>
      <c r="I11" s="51" t="s">
        <v>190</v>
      </c>
      <c r="J11" s="51" t="s">
        <v>197</v>
      </c>
      <c r="K11" s="51">
        <v>5.4719999999999898</v>
      </c>
      <c r="L11" s="51">
        <v>1</v>
      </c>
      <c r="M11" s="51">
        <v>1</v>
      </c>
      <c r="N11" s="51">
        <v>2.3824999999999998</v>
      </c>
      <c r="O11" s="51">
        <v>2.2999999999999998</v>
      </c>
      <c r="P11" s="51">
        <v>6.4719999999999898</v>
      </c>
      <c r="Q11" s="51">
        <v>3.3824999999999998</v>
      </c>
      <c r="R11" s="51">
        <v>2.2999999999999998</v>
      </c>
      <c r="S11" s="51">
        <v>12.154499999999899</v>
      </c>
      <c r="T11" s="51">
        <v>10</v>
      </c>
      <c r="U11" s="52" t="s">
        <v>192</v>
      </c>
    </row>
    <row r="12" spans="1:21">
      <c r="B12" s="50">
        <v>4</v>
      </c>
      <c r="C12" s="51" t="s">
        <v>198</v>
      </c>
      <c r="D12" s="51">
        <v>4.68</v>
      </c>
      <c r="E12" s="51">
        <v>4.38</v>
      </c>
      <c r="F12" s="51">
        <v>23.53</v>
      </c>
      <c r="G12" s="51">
        <v>32.86</v>
      </c>
      <c r="H12" s="51">
        <v>0.18</v>
      </c>
      <c r="I12" s="51" t="s">
        <v>190</v>
      </c>
      <c r="J12" s="51" t="s">
        <v>199</v>
      </c>
      <c r="K12" s="51">
        <v>5.6159999999999997</v>
      </c>
      <c r="L12" s="51">
        <v>1</v>
      </c>
      <c r="M12" s="51">
        <v>1</v>
      </c>
      <c r="N12" s="51">
        <v>1.9649999999999901</v>
      </c>
      <c r="O12" s="51">
        <v>2.6</v>
      </c>
      <c r="P12" s="51">
        <v>6.6159999999999997</v>
      </c>
      <c r="Q12" s="51">
        <v>2.9649999999999999</v>
      </c>
      <c r="R12" s="51">
        <v>2.6</v>
      </c>
      <c r="S12" s="51">
        <v>12.180999999999999</v>
      </c>
      <c r="T12" s="51">
        <v>10</v>
      </c>
      <c r="U12" s="52" t="s">
        <v>192</v>
      </c>
    </row>
    <row r="13" spans="1:21">
      <c r="B13" s="50">
        <v>5</v>
      </c>
      <c r="C13" s="51" t="s">
        <v>200</v>
      </c>
      <c r="D13" s="51">
        <v>3.39</v>
      </c>
      <c r="E13" s="51">
        <v>2.94</v>
      </c>
      <c r="F13" s="51">
        <v>27.34</v>
      </c>
      <c r="G13" s="51">
        <v>39.69</v>
      </c>
      <c r="H13" s="51">
        <v>0.2</v>
      </c>
      <c r="I13" s="51" t="s">
        <v>190</v>
      </c>
      <c r="J13" s="51" t="s">
        <v>201</v>
      </c>
      <c r="K13" s="51">
        <v>4.0679999999999996</v>
      </c>
      <c r="L13" s="51">
        <v>1</v>
      </c>
      <c r="M13" s="51">
        <v>1</v>
      </c>
      <c r="N13" s="51">
        <v>3.6724999999999901</v>
      </c>
      <c r="O13" s="51">
        <v>2</v>
      </c>
      <c r="P13" s="51">
        <v>5.0679999999999996</v>
      </c>
      <c r="Q13" s="51">
        <v>4.6724999999999897</v>
      </c>
      <c r="R13" s="51">
        <v>2</v>
      </c>
      <c r="S13" s="51">
        <v>11.7404999999999</v>
      </c>
      <c r="T13" s="51">
        <v>10</v>
      </c>
      <c r="U13" s="52" t="s">
        <v>192</v>
      </c>
    </row>
    <row r="14" spans="1:21" ht="14.25" thickBot="1">
      <c r="B14" s="53">
        <v>6</v>
      </c>
      <c r="C14" s="54" t="s">
        <v>202</v>
      </c>
      <c r="D14" s="54">
        <v>3.46</v>
      </c>
      <c r="E14" s="54">
        <v>1.4</v>
      </c>
      <c r="F14" s="54">
        <v>27.46</v>
      </c>
      <c r="G14" s="54">
        <v>34.07</v>
      </c>
      <c r="H14" s="54">
        <v>0.16</v>
      </c>
      <c r="I14" s="54" t="s">
        <v>190</v>
      </c>
      <c r="J14" s="54" t="s">
        <v>197</v>
      </c>
      <c r="K14" s="54">
        <v>4.1520000000000001</v>
      </c>
      <c r="L14" s="54">
        <v>1</v>
      </c>
      <c r="M14" s="54">
        <v>1</v>
      </c>
      <c r="N14" s="54">
        <v>2.2675000000000001</v>
      </c>
      <c r="O14" s="54">
        <v>3.2</v>
      </c>
      <c r="P14" s="54">
        <v>5.1520000000000001</v>
      </c>
      <c r="Q14" s="54">
        <v>3.2675000000000001</v>
      </c>
      <c r="R14" s="54">
        <v>3.2</v>
      </c>
      <c r="S14" s="54">
        <v>11.619499999999899</v>
      </c>
      <c r="T14" s="54">
        <v>13</v>
      </c>
      <c r="U14" s="55" t="s">
        <v>192</v>
      </c>
    </row>
  </sheetData>
  <phoneticPr fontId="1"/>
  <dataValidations disablePrompts="1" count="1">
    <dataValidation type="date" allowBlank="1" showInputMessage="1" showErrorMessage="1" sqref="B2" xr:uid="{564865AC-D863-4389-855A-D30C2EAA485C}">
      <formula1>45658</formula1>
      <formula2>46387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D61093E8-E9EB-4833-9F8C-D8FDFABFE7DE}">
          <x14:formula1>
            <xm:f>非表示!$D$2:$D$25</xm:f>
          </x14:formula1>
          <xm:sqref>C4</xm:sqref>
        </x14:dataValidation>
        <x14:dataValidation type="list" allowBlank="1" showInputMessage="1" showErrorMessage="1" xr:uid="{A5CA123C-15A7-4897-8A05-E1B08B32B453}">
          <x14:formula1>
            <xm:f>非表示!$B$2:$B$13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28"/>
  <sheetViews>
    <sheetView workbookViewId="0">
      <selection activeCell="E21" sqref="E21"/>
    </sheetView>
  </sheetViews>
  <sheetFormatPr defaultRowHeight="13.5"/>
  <cols>
    <col min="1" max="1" width="2.875" style="1" customWidth="1"/>
    <col min="2" max="2" width="16.75" style="1" bestFit="1" customWidth="1"/>
    <col min="3" max="8" width="15" style="1" bestFit="1" customWidth="1"/>
    <col min="9" max="16384" width="9" style="1"/>
  </cols>
  <sheetData>
    <row r="2" spans="1:8" ht="14.25" thickBot="1">
      <c r="A2" s="1" t="s">
        <v>0</v>
      </c>
      <c r="D2" s="1" t="s">
        <v>65</v>
      </c>
    </row>
    <row r="3" spans="1:8" ht="14.25" thickBot="1">
      <c r="B3" s="5" t="s">
        <v>1</v>
      </c>
      <c r="C3" s="8">
        <v>46046</v>
      </c>
      <c r="D3" s="10" t="str">
        <f>E3&amp;E4&amp;E5</f>
        <v>20260124OMR03</v>
      </c>
      <c r="E3" s="9" t="str">
        <f>TEXT(C3,"yyyymmdd")</f>
        <v>20260124</v>
      </c>
    </row>
    <row r="4" spans="1:8">
      <c r="B4" s="6" t="s">
        <v>3</v>
      </c>
      <c r="C4" s="3" t="s">
        <v>47</v>
      </c>
      <c r="E4" s="1" t="str">
        <f>VLOOKUP(C4,非表示!D:E,2,FALSE)</f>
        <v>OMR</v>
      </c>
    </row>
    <row r="5" spans="1:8" ht="14.25" thickBot="1">
      <c r="B5" s="7" t="s">
        <v>2</v>
      </c>
      <c r="C5" s="4" t="s">
        <v>6</v>
      </c>
      <c r="E5" s="1" t="str">
        <f>C5</f>
        <v>03</v>
      </c>
    </row>
    <row r="7" spans="1:8" ht="14.25" thickBot="1">
      <c r="A7" s="1" t="s">
        <v>74</v>
      </c>
    </row>
    <row r="8" spans="1:8">
      <c r="B8" s="29" t="s">
        <v>66</v>
      </c>
      <c r="C8" s="23" t="str">
        <f>$D$3</f>
        <v>20260124OMR03</v>
      </c>
      <c r="D8" s="17" t="str">
        <f t="shared" ref="D8:H8" si="0">$D$3</f>
        <v>20260124OMR03</v>
      </c>
      <c r="E8" s="17" t="str">
        <f t="shared" si="0"/>
        <v>20260124OMR03</v>
      </c>
      <c r="F8" s="17" t="str">
        <f t="shared" si="0"/>
        <v>20260124OMR03</v>
      </c>
      <c r="G8" s="17" t="str">
        <f t="shared" si="0"/>
        <v>20260124OMR03</v>
      </c>
      <c r="H8" s="18" t="str">
        <f t="shared" si="0"/>
        <v>20260124OMR03</v>
      </c>
    </row>
    <row r="9" spans="1:8">
      <c r="B9" s="30" t="s">
        <v>67</v>
      </c>
      <c r="C9" s="24">
        <v>1</v>
      </c>
      <c r="D9" s="19">
        <v>2</v>
      </c>
      <c r="E9" s="19">
        <v>3</v>
      </c>
      <c r="F9" s="19">
        <v>4</v>
      </c>
      <c r="G9" s="19">
        <v>5</v>
      </c>
      <c r="H9" s="20">
        <v>6</v>
      </c>
    </row>
    <row r="10" spans="1:8">
      <c r="B10" s="30" t="s">
        <v>68</v>
      </c>
      <c r="C10" s="24">
        <f>C22</f>
        <v>4957</v>
      </c>
      <c r="D10" s="19">
        <f t="shared" ref="D10:H10" si="1">D22</f>
        <v>3349</v>
      </c>
      <c r="E10" s="19">
        <f t="shared" si="1"/>
        <v>4261</v>
      </c>
      <c r="F10" s="19">
        <f t="shared" si="1"/>
        <v>4417</v>
      </c>
      <c r="G10" s="19">
        <f t="shared" si="1"/>
        <v>4898</v>
      </c>
      <c r="H10" s="20">
        <f t="shared" si="1"/>
        <v>5192</v>
      </c>
    </row>
    <row r="11" spans="1:8">
      <c r="B11" s="30" t="s">
        <v>69</v>
      </c>
      <c r="C11" s="24">
        <f>C24</f>
        <v>6.83</v>
      </c>
      <c r="D11" s="19">
        <f t="shared" ref="D11:H11" si="2">D24</f>
        <v>6.88</v>
      </c>
      <c r="E11" s="19">
        <f t="shared" si="2"/>
        <v>6.83</v>
      </c>
      <c r="F11" s="19">
        <f t="shared" si="2"/>
        <v>6.91</v>
      </c>
      <c r="G11" s="19">
        <f t="shared" si="2"/>
        <v>6.83</v>
      </c>
      <c r="H11" s="20">
        <f t="shared" si="2"/>
        <v>6.9</v>
      </c>
    </row>
    <row r="12" spans="1:8">
      <c r="B12" s="30" t="s">
        <v>70</v>
      </c>
      <c r="C12" s="24">
        <f>VALUE(SUBSTITUTE(C25, "F", "-0"))</f>
        <v>0</v>
      </c>
      <c r="D12" s="19">
        <f t="shared" ref="D12:H12" si="3">VALUE(SUBSTITUTE(D25, "F", "-0"))</f>
        <v>-0.06</v>
      </c>
      <c r="E12" s="19">
        <f t="shared" si="3"/>
        <v>7.0000000000000007E-2</v>
      </c>
      <c r="F12" s="19">
        <f t="shared" si="3"/>
        <v>0.21</v>
      </c>
      <c r="G12" s="19">
        <f t="shared" si="3"/>
        <v>0.03</v>
      </c>
      <c r="H12" s="20">
        <f t="shared" si="3"/>
        <v>0.04</v>
      </c>
    </row>
    <row r="13" spans="1:8">
      <c r="B13" s="30" t="s">
        <v>71</v>
      </c>
      <c r="C13" s="24">
        <f t="shared" ref="C13:H15" si="4">C26</f>
        <v>37.1</v>
      </c>
      <c r="D13" s="19">
        <f t="shared" si="4"/>
        <v>37.07</v>
      </c>
      <c r="E13" s="19">
        <f t="shared" si="4"/>
        <v>37.270000000000003</v>
      </c>
      <c r="F13" s="19">
        <f t="shared" si="4"/>
        <v>37.4</v>
      </c>
      <c r="G13" s="19">
        <f t="shared" si="4"/>
        <v>36.83</v>
      </c>
      <c r="H13" s="20">
        <f t="shared" si="4"/>
        <v>37.700000000000003</v>
      </c>
    </row>
    <row r="14" spans="1:8">
      <c r="B14" s="30" t="s">
        <v>72</v>
      </c>
      <c r="C14" s="24">
        <f t="shared" si="4"/>
        <v>6.54</v>
      </c>
      <c r="D14" s="19">
        <f t="shared" si="4"/>
        <v>6.33</v>
      </c>
      <c r="E14" s="19">
        <f t="shared" si="4"/>
        <v>6.3</v>
      </c>
      <c r="F14" s="19">
        <f t="shared" si="4"/>
        <v>6.73</v>
      </c>
      <c r="G14" s="19">
        <f t="shared" si="4"/>
        <v>6.33</v>
      </c>
      <c r="H14" s="20">
        <f t="shared" si="4"/>
        <v>7.3</v>
      </c>
    </row>
    <row r="15" spans="1:8" ht="14.25" thickBot="1">
      <c r="B15" s="31" t="s">
        <v>73</v>
      </c>
      <c r="C15" s="25">
        <f t="shared" si="4"/>
        <v>7.23</v>
      </c>
      <c r="D15" s="21">
        <f t="shared" si="4"/>
        <v>7.47</v>
      </c>
      <c r="E15" s="21">
        <f t="shared" si="4"/>
        <v>7.3</v>
      </c>
      <c r="F15" s="21">
        <f t="shared" si="4"/>
        <v>7.37</v>
      </c>
      <c r="G15" s="21">
        <f t="shared" si="4"/>
        <v>7.32</v>
      </c>
      <c r="H15" s="22">
        <f t="shared" si="4"/>
        <v>7.17</v>
      </c>
    </row>
    <row r="21" spans="1:8" ht="14.25" thickBot="1">
      <c r="A21" s="1" t="s">
        <v>75</v>
      </c>
    </row>
    <row r="22" spans="1:8">
      <c r="B22" s="5" t="s">
        <v>82</v>
      </c>
      <c r="C22" s="26">
        <v>4957</v>
      </c>
      <c r="D22" s="12">
        <v>3349</v>
      </c>
      <c r="E22" s="12">
        <v>4261</v>
      </c>
      <c r="F22" s="12">
        <v>4417</v>
      </c>
      <c r="G22" s="12">
        <v>4898</v>
      </c>
      <c r="H22" s="13">
        <v>5192</v>
      </c>
    </row>
    <row r="23" spans="1:8">
      <c r="B23" s="6" t="s">
        <v>76</v>
      </c>
      <c r="C23" s="27">
        <v>1</v>
      </c>
      <c r="D23" s="11">
        <v>2</v>
      </c>
      <c r="E23" s="11">
        <v>3</v>
      </c>
      <c r="F23" s="11">
        <v>4</v>
      </c>
      <c r="G23" s="11">
        <v>5</v>
      </c>
      <c r="H23" s="14">
        <v>6</v>
      </c>
    </row>
    <row r="24" spans="1:8">
      <c r="B24" s="6" t="s">
        <v>77</v>
      </c>
      <c r="C24" s="27">
        <v>6.83</v>
      </c>
      <c r="D24" s="11">
        <v>6.88</v>
      </c>
      <c r="E24" s="11">
        <v>6.83</v>
      </c>
      <c r="F24" s="11">
        <v>6.91</v>
      </c>
      <c r="G24" s="11">
        <v>6.83</v>
      </c>
      <c r="H24" s="14">
        <v>6.9</v>
      </c>
    </row>
    <row r="25" spans="1:8">
      <c r="B25" s="6" t="s">
        <v>78</v>
      </c>
      <c r="C25" s="27">
        <v>0</v>
      </c>
      <c r="D25" s="11" t="s">
        <v>83</v>
      </c>
      <c r="E25" s="11">
        <v>7.0000000000000007E-2</v>
      </c>
      <c r="F25" s="11">
        <v>0.21</v>
      </c>
      <c r="G25" s="11">
        <v>0.03</v>
      </c>
      <c r="H25" s="14">
        <v>0.04</v>
      </c>
    </row>
    <row r="26" spans="1:8">
      <c r="B26" s="6" t="s">
        <v>79</v>
      </c>
      <c r="C26" s="27">
        <v>37.1</v>
      </c>
      <c r="D26" s="11">
        <v>37.07</v>
      </c>
      <c r="E26" s="11">
        <v>37.270000000000003</v>
      </c>
      <c r="F26" s="11">
        <v>37.4</v>
      </c>
      <c r="G26" s="11">
        <v>36.83</v>
      </c>
      <c r="H26" s="14">
        <v>37.700000000000003</v>
      </c>
    </row>
    <row r="27" spans="1:8">
      <c r="B27" s="6" t="s">
        <v>80</v>
      </c>
      <c r="C27" s="27">
        <v>6.54</v>
      </c>
      <c r="D27" s="11">
        <v>6.33</v>
      </c>
      <c r="E27" s="11">
        <v>6.3</v>
      </c>
      <c r="F27" s="11">
        <v>6.73</v>
      </c>
      <c r="G27" s="11">
        <v>6.33</v>
      </c>
      <c r="H27" s="14">
        <v>7.3</v>
      </c>
    </row>
    <row r="28" spans="1:8" ht="14.25" thickBot="1">
      <c r="B28" s="7" t="s">
        <v>81</v>
      </c>
      <c r="C28" s="28">
        <v>7.23</v>
      </c>
      <c r="D28" s="15">
        <v>7.47</v>
      </c>
      <c r="E28" s="15">
        <v>7.3</v>
      </c>
      <c r="F28" s="15">
        <v>7.37</v>
      </c>
      <c r="G28" s="15">
        <v>7.32</v>
      </c>
      <c r="H28" s="16">
        <v>7.17</v>
      </c>
    </row>
  </sheetData>
  <phoneticPr fontId="1"/>
  <dataValidations count="1">
    <dataValidation type="date" allowBlank="1" showInputMessage="1" showErrorMessage="1" sqref="B2" xr:uid="{07FF8823-BC90-4EAE-87AF-AD762147B0A0}">
      <formula1>45658</formula1>
      <formula2>46387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56C7516-1E66-4094-AEFF-BB68D52F386A}">
          <x14:formula1>
            <xm:f>非表示!$B$2:$B$13</xm:f>
          </x14:formula1>
          <xm:sqref>C5</xm:sqref>
        </x14:dataValidation>
        <x14:dataValidation type="list" allowBlank="1" showInputMessage="1" showErrorMessage="1" xr:uid="{778203F5-FBA4-42F9-89D6-27A4E08E93F4}">
          <x14:formula1>
            <xm:f>非表示!$D$2:$D$25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B7868-BF53-48B7-AA4C-C53E938541AA}">
  <sheetPr codeName="Sheet2"/>
  <dimension ref="B1:E25"/>
  <sheetViews>
    <sheetView topLeftCell="A3" workbookViewId="0">
      <selection activeCell="D2" sqref="D2"/>
    </sheetView>
  </sheetViews>
  <sheetFormatPr defaultRowHeight="13.5"/>
  <cols>
    <col min="1" max="1" width="9" style="1"/>
    <col min="2" max="2" width="11.625" style="1" bestFit="1" customWidth="1"/>
    <col min="3" max="16384" width="9" style="1"/>
  </cols>
  <sheetData>
    <row r="1" spans="2:5">
      <c r="B1" s="1" t="s">
        <v>2</v>
      </c>
      <c r="D1" s="1" t="s">
        <v>64</v>
      </c>
    </row>
    <row r="2" spans="2:5">
      <c r="B2" s="2" t="s">
        <v>4</v>
      </c>
      <c r="D2" s="1" t="s">
        <v>17</v>
      </c>
      <c r="E2" s="1" t="s">
        <v>16</v>
      </c>
    </row>
    <row r="3" spans="2:5">
      <c r="B3" s="2" t="s">
        <v>5</v>
      </c>
      <c r="D3" s="1" t="s">
        <v>19</v>
      </c>
      <c r="E3" s="1" t="s">
        <v>18</v>
      </c>
    </row>
    <row r="4" spans="2:5">
      <c r="B4" s="2" t="s">
        <v>6</v>
      </c>
      <c r="D4" s="1" t="s">
        <v>21</v>
      </c>
      <c r="E4" s="1" t="s">
        <v>20</v>
      </c>
    </row>
    <row r="5" spans="2:5">
      <c r="B5" s="2" t="s">
        <v>7</v>
      </c>
      <c r="D5" s="1" t="s">
        <v>23</v>
      </c>
      <c r="E5" s="1" t="s">
        <v>22</v>
      </c>
    </row>
    <row r="6" spans="2:5">
      <c r="B6" s="2" t="s">
        <v>8</v>
      </c>
      <c r="D6" s="1" t="s">
        <v>25</v>
      </c>
      <c r="E6" s="1" t="s">
        <v>24</v>
      </c>
    </row>
    <row r="7" spans="2:5">
      <c r="B7" s="2" t="s">
        <v>9</v>
      </c>
      <c r="D7" s="1" t="s">
        <v>27</v>
      </c>
      <c r="E7" s="1" t="s">
        <v>26</v>
      </c>
    </row>
    <row r="8" spans="2:5">
      <c r="B8" s="2" t="s">
        <v>10</v>
      </c>
      <c r="D8" s="1" t="s">
        <v>29</v>
      </c>
      <c r="E8" s="1" t="s">
        <v>28</v>
      </c>
    </row>
    <row r="9" spans="2:5">
      <c r="B9" s="2" t="s">
        <v>11</v>
      </c>
      <c r="D9" s="1" t="s">
        <v>31</v>
      </c>
      <c r="E9" s="1" t="s">
        <v>30</v>
      </c>
    </row>
    <row r="10" spans="2:5">
      <c r="B10" s="2" t="s">
        <v>12</v>
      </c>
      <c r="D10" s="1" t="s">
        <v>33</v>
      </c>
      <c r="E10" s="1" t="s">
        <v>32</v>
      </c>
    </row>
    <row r="11" spans="2:5">
      <c r="B11" s="2" t="s">
        <v>13</v>
      </c>
      <c r="D11" s="1" t="s">
        <v>35</v>
      </c>
      <c r="E11" s="1" t="s">
        <v>34</v>
      </c>
    </row>
    <row r="12" spans="2:5">
      <c r="B12" s="2" t="s">
        <v>14</v>
      </c>
      <c r="D12" s="1" t="s">
        <v>37</v>
      </c>
      <c r="E12" s="1" t="s">
        <v>36</v>
      </c>
    </row>
    <row r="13" spans="2:5">
      <c r="B13" s="2" t="s">
        <v>15</v>
      </c>
      <c r="D13" s="1" t="s">
        <v>39</v>
      </c>
      <c r="E13" s="1" t="s">
        <v>38</v>
      </c>
    </row>
    <row r="14" spans="2:5">
      <c r="D14" s="1" t="s">
        <v>41</v>
      </c>
      <c r="E14" s="1" t="s">
        <v>40</v>
      </c>
    </row>
    <row r="15" spans="2:5">
      <c r="D15" s="1" t="s">
        <v>43</v>
      </c>
      <c r="E15" s="1" t="s">
        <v>42</v>
      </c>
    </row>
    <row r="16" spans="2:5">
      <c r="D16" s="1" t="s">
        <v>45</v>
      </c>
      <c r="E16" s="1" t="s">
        <v>44</v>
      </c>
    </row>
    <row r="17" spans="4:5">
      <c r="D17" s="1" t="s">
        <v>47</v>
      </c>
      <c r="E17" s="1" t="s">
        <v>46</v>
      </c>
    </row>
    <row r="18" spans="4:5">
      <c r="D18" s="1" t="s">
        <v>49</v>
      </c>
      <c r="E18" s="1" t="s">
        <v>48</v>
      </c>
    </row>
    <row r="19" spans="4:5">
      <c r="D19" s="1" t="s">
        <v>51</v>
      </c>
      <c r="E19" s="1" t="s">
        <v>50</v>
      </c>
    </row>
    <row r="20" spans="4:5">
      <c r="D20" s="1" t="s">
        <v>53</v>
      </c>
      <c r="E20" s="1" t="s">
        <v>52</v>
      </c>
    </row>
    <row r="21" spans="4:5">
      <c r="D21" s="1" t="s">
        <v>55</v>
      </c>
      <c r="E21" s="1" t="s">
        <v>54</v>
      </c>
    </row>
    <row r="22" spans="4:5">
      <c r="D22" s="1" t="s">
        <v>57</v>
      </c>
      <c r="E22" s="1" t="s">
        <v>56</v>
      </c>
    </row>
    <row r="23" spans="4:5">
      <c r="D23" s="1" t="s">
        <v>59</v>
      </c>
      <c r="E23" s="1" t="s">
        <v>58</v>
      </c>
    </row>
    <row r="24" spans="4:5">
      <c r="D24" s="1" t="s">
        <v>61</v>
      </c>
      <c r="E24" s="1" t="s">
        <v>60</v>
      </c>
    </row>
    <row r="25" spans="4:5">
      <c r="D25" s="1" t="s">
        <v>63</v>
      </c>
      <c r="E25" s="1" t="s">
        <v>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INPUTイメージ</vt:lpstr>
      <vt:lpstr>INPUT</vt:lpstr>
      <vt:lpstr>展示取り込み</vt:lpstr>
      <vt:lpstr>非表示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善幸宮崎</dc:creator>
  <cp:lastModifiedBy>宮崎 善幸</cp:lastModifiedBy>
  <dcterms:created xsi:type="dcterms:W3CDTF">2015-06-05T18:19:34Z</dcterms:created>
  <dcterms:modified xsi:type="dcterms:W3CDTF">2026-01-25T08:00:05Z</dcterms:modified>
</cp:coreProperties>
</file>