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2E191FCD-1682-4BC6-BEAE-D86D96B89B58}" xr6:coauthVersionLast="47" xr6:coauthVersionMax="47" xr10:uidLastSave="{00000000-0000-0000-0000-000000000000}"/>
  <bookViews>
    <workbookView xWindow="-105" yWindow="0" windowWidth="14610" windowHeight="1558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6" i="3" l="1"/>
  <c r="K66" i="3"/>
  <c r="J67" i="3"/>
  <c r="K67" i="3"/>
  <c r="J68" i="3"/>
  <c r="K68" i="3"/>
  <c r="J69" i="3"/>
  <c r="K69" i="3"/>
  <c r="J70" i="3"/>
  <c r="K70" i="3"/>
  <c r="K65" i="3"/>
  <c r="J65" i="3"/>
  <c r="G3" i="2"/>
  <c r="K64" i="3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L64" i="3" s="1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L66" i="3" l="1"/>
  <c r="M66" i="3" s="1"/>
  <c r="L67" i="3"/>
  <c r="M67" i="3" s="1"/>
  <c r="L68" i="3"/>
  <c r="M68" i="3" s="1"/>
  <c r="L69" i="3"/>
  <c r="M69" i="3" s="1"/>
  <c r="L70" i="3"/>
  <c r="M70" i="3" s="1"/>
  <c r="L65" i="3"/>
  <c r="M65" i="3" s="1"/>
  <c r="J64" i="3"/>
  <c r="D58" i="3" a="1"/>
  <c r="D58" i="3" s="1"/>
  <c r="F58" i="3" s="1"/>
  <c r="C59" i="3" a="1"/>
  <c r="C59" i="3" s="1"/>
  <c r="D3" i="3"/>
  <c r="M71" i="3" l="1"/>
  <c r="N65" i="3" s="1"/>
  <c r="R65" i="3" s="1"/>
  <c r="D59" i="3" a="1"/>
  <c r="D59" i="3" s="1"/>
  <c r="E58" i="3" a="1"/>
  <c r="E58" i="3" s="1"/>
  <c r="D12" i="1"/>
  <c r="E12" i="1"/>
  <c r="F12" i="1"/>
  <c r="G12" i="1"/>
  <c r="H12" i="1"/>
  <c r="C12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<sst xmlns="http://schemas.openxmlformats.org/spreadsheetml/2006/main" count="647" uniqueCount="335">
  <si>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</si>
  <si>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</si>
  <si>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</si>
  <si>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</si>
  <si>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</si>
  <si>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</si>
  <si>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</si>
  <si>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</si>
  <si>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</si>
  <si>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</si>
  <si>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</si>
  <si>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</si>
  <si>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</si>
  <si>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</si>
  <si>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</si>
  <si>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</si>
  <si>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</si>
  <si>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</si>
  <si>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</si>
  <si>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</si>
  <si>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</si>
  <si>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</si>
  <si>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</si>
  <si>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</si>
  <si>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</si>
  <si>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</si>
  <si>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</si>
  <si>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</si>
  <si>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</si>
  <si>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</si>
  <si>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</si>
  <si>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</si>
  <si>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</si>
  <si>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</si>
  <si>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</si>
  <si>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</si>
  <si>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</si>
  <si>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</si>
  <si>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</si>
  <si>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</si>
  <si>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</si>
  <si>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</si>
  <si>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</si>
  <si>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</si>
  <si>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</si>
  <si>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</si>
  <si>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</si>
  <si>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</si>
  <si>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</si>
  <si>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</si>
  <si>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</si>
  <si>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</si>
  <si>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</si>
  <si>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</si>
  <si>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</si>
  <si>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</si>
  <si>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</si>
  <si>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</si>
  <si>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</si>
  <si>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</si>
  <si>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</si>
  <si>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</si>
  <si>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</si>
  <si>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</si>
  <si>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</si>
  <si>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</si>
  <si>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</si>
  <si>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</si>
  <si>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</si>
  <si>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</si>
  <si>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</si>
  <si>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</si>
  <si>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</si>
  <si>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</si>
  <si>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</si>
  <si>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</si>
  <si>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</si>
  <si>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</si>
  <si>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</si>
  <si>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</si>
  <si>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</si>
  <si>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</si>
  <si>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</si>
  <si>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</si>
  <si>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</si>
  <si>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</si>
  <si>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</si>
  <si>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</si>
  <si>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</si>
  <si>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</si>
  <si>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</si>
  <si>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</si>
  <si>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</si>
  <si>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</si>
  <si>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</si>
  <si>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</si>
  <si>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</si>
  <si>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</si>
  <si>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</si>
  <si>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</si>
  <si>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</si>
  <si>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</si>
  <si>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</si>
  <si>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</si>
  <si>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</si>
  <si>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</si>
  <si>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</si>
  <si>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</si>
  <si>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</si>
  <si>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</si>
  <si>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</si>
  <si>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</si>
  <si>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</si>
  <si>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</si>
  <si>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</si>
  <si>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</si>
  <si>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</si>
  <si>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</si>
  <si>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</si>
  <si>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</si>
  <si>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</si>
  <si>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</si>
  <si>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</si>
  <si>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</si>
  <si>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</si>
  <si>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</si>
  <si>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</si>
  <si>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</si>
  <si>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</si>
  <si>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</si>
  <si>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</si>
  <si>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</si>
  <si>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</si>
  <si>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</si>
  <si>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</si>
  <si>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</si>
  <si>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</si>
  <si>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</si>
  <si>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</si>
  <si>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</si>
  <si>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</si>
  <si>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</si>
  <si>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</si>
  <si>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</si>
  <si>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</si>
  <si>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</si>
  <si>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</si>
  <si>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</si>
  <si>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</si>
  <si>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</si>
  <si>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</si>
  <si>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</si>
  <si>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</si>
  <si>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</si>
  <si>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</si>
  <si>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</si>
  <si>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</si>
  <si>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</si>
  <si>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</si>
  <si>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</si>
  <si>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</si>
  <si>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</si>
  <si>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</si>
  <si>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</si>
  <si>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</si>
  <si>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</si>
  <si>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</si>
  <si>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</si>
  <si>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</si>
  <si>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</si>
  <si>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</si>
  <si>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</si>
  <si>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</si>
  <si>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</si>
  <si>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</si>
  <si>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</si>
  <si>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</si>
  <si>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</si>
  <si>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</si>
  <si>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</si>
  <si>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</si>
  <si>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</si>
  <si>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</si>
  <si>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</si>
  <si>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</si>
  <si>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</si>
  <si>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</si>
  <si>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</si>
  <si>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</si>
  <si>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</si>
  <si>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</si>
  <si>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</si>
  <si>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</si>
  <si>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</si>
  <si>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</si>
  <si>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</si>
  <si>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</si>
  <si>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</si>
  <si>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</si>
  <si>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</si>
  <si>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</si>
  <si>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</si>
  <si>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</si>
  <si>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</si>
  <si>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</si>
  <si>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</si>
  <si>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</si>
  <si>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</si>
  <si>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</si>
  <si>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</si>
  <si>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</si>
  <si>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</si>
  <si>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</si>
  <si>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</si>
  <si>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</si>
  <si>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</si>
  <si>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</si>
  <si>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</si>
  <si>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</si>
  <si>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</si>
  <si>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</si>
  <si>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</si>
  <si>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</si>
  <si>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</si>
  <si>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</si>
  <si>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</si>
  <si>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</si>
  <si>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</si>
  <si>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</si>
  <si>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</si>
  <si>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</si>
  <si>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</si>
  <si>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</si>
  <si>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</si>
  <si>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</si>
  <si>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</si>
  <si>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</si>
  <si>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</si>
  <si>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</si>
  <si>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</si>
  <si>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</si>
  <si>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</si>
  <si>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</si>
  <si>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</si>
  <si>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</si>
  <si>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</si>
  <si>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</si>
  <si>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超伸び型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</si>
  <si>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</si>
  <si>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</si>
  <si>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</si>
  <si>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</si>
  <si>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</si>
  <si>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</si>
  <si>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</si>
  <si>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</si>
  <si>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</si>
  <si>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</si>
  <si>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</si>
  <si>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</si>
  <si>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</si>
  <si>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</si>
  <si>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</si>
  <si>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</si>
  <si>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</si>
  <si>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</si>
  <si>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>長崎</t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</si>
  <si>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</si>
  <si>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</si>
  <si>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</si>
  <si>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</si>
  <si>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</si>
  <si>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</si>
  <si>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</si>
  <si>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</si>
  <si>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</si>
  <si>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</si>
  <si>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</si>
  <si>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</si>
  <si>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</si>
  <si>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</si>
  <si>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</si>
  <si>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攻め型</t>
    <phoneticPr fontId="1"/>
  </si>
  <si>
    <t>○</t>
    <phoneticPr fontId="1"/>
  </si>
  <si>
    <t>A1</t>
    <phoneticPr fontId="1"/>
  </si>
  <si>
    <t>fz</t>
    <phoneticPr fontId="1"/>
  </si>
  <si>
    <t>↓3連対期待度</t>
    <phoneticPr fontId="1"/>
  </si>
  <si>
    <t>A2</t>
    <phoneticPr fontId="1"/>
  </si>
  <si>
    <t>◎</t>
    <phoneticPr fontId="1"/>
  </si>
  <si>
    <t>逃げ型</t>
    <phoneticPr fontId="1"/>
  </si>
  <si>
    <t>F.01</t>
  </si>
  <si>
    <t>■スリット体系</t>
    <rPh sb="5" eb="7">
      <t>タイケイ</t>
    </rPh>
    <phoneticPr fontId="1"/>
  </si>
  <si>
    <t>大串重幸</t>
    <phoneticPr fontId="1"/>
  </si>
  <si>
    <t>中北　涼</t>
    <phoneticPr fontId="1"/>
  </si>
  <si>
    <t>高橋竜矢</t>
    <phoneticPr fontId="1"/>
  </si>
  <si>
    <t>広島</t>
    <phoneticPr fontId="1"/>
  </si>
  <si>
    <t>山下昂大</t>
    <phoneticPr fontId="1"/>
  </si>
  <si>
    <t>岡山</t>
    <phoneticPr fontId="1"/>
  </si>
  <si>
    <t>尾崎雄二</t>
    <phoneticPr fontId="1"/>
  </si>
  <si>
    <t>野田部宏</t>
    <phoneticPr fontId="1"/>
  </si>
  <si>
    <t>1着率</t>
    <phoneticPr fontId="1"/>
  </si>
  <si>
    <t>2着率</t>
    <phoneticPr fontId="1"/>
  </si>
  <si>
    <t>3着率</t>
    <phoneticPr fontId="1"/>
  </si>
  <si>
    <t>3連対率</t>
    <phoneticPr fontId="1"/>
  </si>
  <si>
    <t>ID</t>
  </si>
  <si>
    <t>パターン名</t>
  </si>
  <si>
    <t>説明（短縮版）</t>
  </si>
  <si>
    <t>ダッシュ先行</t>
  </si>
  <si>
    <t>456 が圧倒的に速い。外側先行の上位互換。最優先。</t>
  </si>
  <si>
    <t>外側先行</t>
  </si>
  <si>
    <t>456 が上位。12 と重複しやすいので次に判定。</t>
  </si>
  <si>
    <t>1 が遅れる</t>
  </si>
  <si>
    <t>イン遅れは展開に大きく影響。優先度高い。</t>
  </si>
  <si>
    <t>中ぶくれ</t>
  </si>
  <si>
    <t>3・4 が先行。8 と重複するため後に判定。</t>
  </si>
  <si>
    <t>3 の先攻め</t>
  </si>
  <si>
    <t>3 が突出。個別艇の特徴として 9 より優先。</t>
  </si>
  <si>
    <t>中凹み</t>
  </si>
  <si>
    <t>3・4 が遅れる。センター凹みとして特徴が強い。</t>
  </si>
  <si>
    <t>2・3 遅れ</t>
  </si>
  <si>
    <t>センター凹みの別パターン。7 より優先度低い。</t>
  </si>
  <si>
    <t>カベなし</t>
  </si>
  <si>
    <t>2 が遅れる。個別艇の遅れとして 6・7 より後。</t>
  </si>
  <si>
    <t>スロー先行</t>
  </si>
  <si>
    <t>1〜3 が先行。3（1・2先行）と重複するため後。</t>
  </si>
  <si>
    <t>1・2 先行</t>
  </si>
  <si>
    <t>1 と 2 が速い。1（内側先行）より条件が狭い。</t>
  </si>
  <si>
    <t>横一線</t>
  </si>
  <si>
    <t>最も広い条件。後ろで判定。</t>
  </si>
  <si>
    <t>内側先行</t>
  </si>
  <si>
    <t>1〜3 が速い。最も広い条件。最後に判定。</t>
  </si>
  <si>
    <t>スリットパターン</t>
    <phoneticPr fontId="1"/>
  </si>
  <si>
    <t>パターンID</t>
    <phoneticPr fontId="1"/>
  </si>
  <si>
    <t>パターン名</t>
    <rPh sb="4" eb="5">
      <t>メイ</t>
    </rPh>
    <phoneticPr fontId="1"/>
  </si>
  <si>
    <t>説明</t>
    <rPh sb="0" eb="2">
      <t>セツメイ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</si>
</sst>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  <fill>
      <patternFill patternType="solid">
        <fgColor theme="4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78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6" fillId="9" borderId="57" xfId="0" applyFont="1" applyFill="1" applyBorder="1" applyAlignment="1">
      <alignment vertical="center" wrapText="1"/>
    </xf>
    <xf numFmtId="0" fontId="7" fillId="10" borderId="57" xfId="0" applyFont="1" applyFill="1" applyBorder="1" applyAlignment="1">
      <alignment vertical="center" wrapText="1"/>
    </xf>
    <xf numFmtId="0" fontId="7" fillId="11" borderId="57" xfId="0" applyFont="1" applyFill="1" applyBorder="1" applyAlignment="1">
      <alignment vertical="center" wrapText="1"/>
    </xf>
    <xf numFmtId="0" fontId="7" fillId="12" borderId="57" xfId="0" applyFont="1" applyFill="1" applyBorder="1" applyAlignment="1">
      <alignment vertical="center" wrapText="1"/>
    </xf>
    <xf numFmtId="0" fontId="6" fillId="13" borderId="57" xfId="0" applyFont="1" applyFill="1" applyBorder="1" applyAlignment="1">
      <alignment vertical="center" wrapText="1"/>
    </xf>
    <xf numFmtId="0" fontId="7" fillId="14" borderId="57" xfId="0" applyFont="1" applyFill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9" fillId="16" borderId="57" xfId="0" applyFont="1" applyFill="1" applyBorder="1" applyAlignment="1">
      <alignment vertical="center" wrapText="1"/>
    </xf>
    <xf numFmtId="0" fontId="10" fillId="17" borderId="57" xfId="0" applyFont="1" applyFill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6" fillId="0" borderId="59" xfId="0" applyFont="1" applyBorder="1" applyAlignment="1">
      <alignment vertical="center" wrapText="1"/>
    </xf>
    <xf numFmtId="0" fontId="6" fillId="0" borderId="60" xfId="0" applyFont="1" applyBorder="1" applyAlignment="1">
      <alignment vertical="center" wrapText="1"/>
    </xf>
    <xf numFmtId="0" fontId="8" fillId="15" borderId="61" xfId="0" applyFont="1" applyFill="1" applyBorder="1" applyAlignment="1">
      <alignment horizontal="center" vertical="center" wrapText="1"/>
    </xf>
    <xf numFmtId="0" fontId="6" fillId="0" borderId="62" xfId="0" applyFont="1" applyBorder="1" applyAlignment="1">
      <alignment vertical="center" wrapText="1"/>
    </xf>
    <xf numFmtId="0" fontId="8" fillId="15" borderId="63" xfId="0" applyFont="1" applyFill="1" applyBorder="1" applyAlignment="1">
      <alignment horizontal="center" vertical="center" wrapText="1"/>
    </xf>
    <xf numFmtId="0" fontId="6" fillId="0" borderId="64" xfId="0" applyFont="1" applyBorder="1" applyAlignment="1">
      <alignment vertical="center" wrapText="1"/>
    </xf>
    <xf numFmtId="0" fontId="10" fillId="17" borderId="64" xfId="0" applyFont="1" applyFill="1" applyBorder="1" applyAlignment="1">
      <alignment vertical="center" wrapText="1"/>
    </xf>
    <xf numFmtId="0" fontId="9" fillId="16" borderId="65" xfId="0" applyFont="1" applyFill="1" applyBorder="1" applyAlignment="1">
      <alignment vertical="center" wrapText="1"/>
    </xf>
    <xf numFmtId="9" fontId="2" fillId="2" borderId="8" xfId="1" quotePrefix="1" applyFont="1" applyFill="1" applyBorder="1" applyAlignment="1"/>
    <xf numFmtId="9" fontId="2" fillId="3" borderId="8" xfId="1" quotePrefix="1" applyFont="1" applyFill="1" applyBorder="1" applyAlignment="1"/>
    <xf numFmtId="0" fontId="2" fillId="18" borderId="18" xfId="0" applyFont="1" applyFill="1" applyBorder="1"/>
    <xf numFmtId="9" fontId="2" fillId="18" borderId="8" xfId="1" applyFont="1" applyFill="1" applyBorder="1" applyAlignment="1"/>
    <xf numFmtId="9" fontId="2" fillId="18" borderId="8" xfId="1" quotePrefix="1" applyFont="1" applyFill="1" applyBorder="1" applyAlignment="1"/>
    <xf numFmtId="9" fontId="2" fillId="18" borderId="11" xfId="1" applyFont="1" applyFill="1" applyBorder="1" applyAlignment="1"/>
    <xf numFmtId="9" fontId="2" fillId="5" borderId="8" xfId="1" quotePrefix="1" applyFont="1" applyFill="1" applyBorder="1" applyAlignment="1"/>
    <xf numFmtId="9" fontId="2" fillId="6" borderId="12" xfId="1" quotePrefix="1" applyFont="1" applyFill="1" applyBorder="1" applyAlignme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  <xdr:twoCellAnchor>
    <xdr:from>
      <xdr:col>9</xdr:col>
      <xdr:colOff>971550</xdr:colOff>
      <xdr:row>72</xdr:row>
      <xdr:rowOff>85725</xdr:rowOff>
    </xdr:from>
    <xdr:to>
      <xdr:col>11</xdr:col>
      <xdr:colOff>533400</xdr:colOff>
      <xdr:row>73</xdr:row>
      <xdr:rowOff>142875</xdr:rowOff>
    </xdr:to>
    <xdr:sp macro="[0]!LoadSlitBuffDebuff" textlink="">
      <xdr:nvSpPr>
        <xdr:cNvPr id="7" name="正方形/長方形 6">
          <a:extLst>
            <a:ext uri="{FF2B5EF4-FFF2-40B4-BE49-F238E27FC236}">
              <a16:creationId xmlns:a16="http://schemas.microsoft.com/office/drawing/2014/main" id="{6A9672B6-05EF-F911-EDF5-F41BA919D704}"/>
            </a:ext>
          </a:extLst>
        </xdr:cNvPr>
        <xdr:cNvSpPr/>
      </xdr:nvSpPr>
      <xdr:spPr>
        <a:xfrm>
          <a:off x="8763000" y="137255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8" customFormat="1" ht="27">
      <c r="A1" s="25" t="s">
        <v>83</v>
      </c>
      <c r="B1" s="26" t="s">
        <v>84</v>
      </c>
      <c r="C1" s="26" t="s">
        <v>85</v>
      </c>
      <c r="D1" s="26" t="s">
        <v>86</v>
      </c>
      <c r="E1" s="26" t="s">
        <v>87</v>
      </c>
      <c r="F1" s="26" t="s">
        <v>88</v>
      </c>
      <c r="G1" s="26" t="s">
        <v>78</v>
      </c>
      <c r="H1" s="26" t="s">
        <v>89</v>
      </c>
      <c r="I1" s="26" t="s">
        <v>90</v>
      </c>
      <c r="J1" s="26" t="s">
        <v>91</v>
      </c>
      <c r="K1" s="26" t="s">
        <v>92</v>
      </c>
      <c r="L1" s="26" t="s">
        <v>93</v>
      </c>
      <c r="M1" s="26" t="s">
        <v>94</v>
      </c>
      <c r="N1" s="26" t="s">
        <v>95</v>
      </c>
      <c r="O1" s="26" t="s">
        <v>96</v>
      </c>
      <c r="P1" s="26" t="s">
        <v>97</v>
      </c>
      <c r="Q1" s="26" t="s">
        <v>98</v>
      </c>
      <c r="R1" s="26" t="s">
        <v>99</v>
      </c>
      <c r="S1" s="26" t="s">
        <v>100</v>
      </c>
      <c r="T1" s="27" t="s">
        <v>101</v>
      </c>
    </row>
    <row r="2" spans="1:20">
      <c r="A2" s="29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9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9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9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9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30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1" t="s">
        <v>116</v>
      </c>
    </row>
    <row r="13" spans="1:20">
      <c r="A13" s="1" t="s">
        <v>86</v>
      </c>
      <c r="B13" s="1" t="s">
        <v>115</v>
      </c>
      <c r="C13" s="31" t="s">
        <v>117</v>
      </c>
    </row>
    <row r="14" spans="1:20">
      <c r="A14" s="1" t="s">
        <v>87</v>
      </c>
      <c r="B14" s="31" t="s">
        <v>118</v>
      </c>
      <c r="C14" s="31" t="s">
        <v>119</v>
      </c>
    </row>
    <row r="15" spans="1:20">
      <c r="A15" s="1" t="s">
        <v>88</v>
      </c>
      <c r="B15" s="31" t="s">
        <v>118</v>
      </c>
      <c r="C15" s="31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1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1" t="s">
        <v>123</v>
      </c>
    </row>
    <row r="20" spans="1:4">
      <c r="A20" s="1" t="s">
        <v>90</v>
      </c>
      <c r="B20" s="1" t="s">
        <v>121</v>
      </c>
      <c r="C20" s="1" t="s">
        <v>130</v>
      </c>
      <c r="D20" s="31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2" t="s">
        <v>135</v>
      </c>
      <c r="B112" s="33" t="s">
        <v>136</v>
      </c>
      <c r="C112" s="33"/>
      <c r="D112" s="33"/>
      <c r="E112" s="33" t="s">
        <v>137</v>
      </c>
      <c r="F112" s="33" t="s">
        <v>138</v>
      </c>
      <c r="G112" s="33" t="s">
        <v>87</v>
      </c>
      <c r="H112" s="33" t="s">
        <v>88</v>
      </c>
      <c r="I112" s="33"/>
      <c r="J112" s="33" t="s">
        <v>139</v>
      </c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 t="s">
        <v>140</v>
      </c>
      <c r="Y112" s="34"/>
    </row>
    <row r="113" spans="1:25">
      <c r="A113" s="35"/>
      <c r="J113" s="1" t="s">
        <v>141</v>
      </c>
      <c r="Y113" s="36"/>
    </row>
    <row r="114" spans="1:25">
      <c r="A114" s="35"/>
      <c r="J114" s="1" t="s">
        <v>142</v>
      </c>
      <c r="Y114" s="36"/>
    </row>
    <row r="115" spans="1:25">
      <c r="A115" s="35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6"/>
    </row>
    <row r="116" spans="1:25">
      <c r="A116" s="35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6"/>
    </row>
    <row r="117" spans="1:25">
      <c r="A117" s="35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6"/>
    </row>
    <row r="118" spans="1:25">
      <c r="A118" s="35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6"/>
    </row>
    <row r="119" spans="1:25">
      <c r="A119" s="35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6"/>
    </row>
    <row r="120" spans="1:25">
      <c r="A120" s="35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6"/>
    </row>
    <row r="121" spans="1:25">
      <c r="A121" s="35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6"/>
    </row>
    <row r="122" spans="1:25">
      <c r="A122" s="35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6"/>
    </row>
    <row r="123" spans="1:25">
      <c r="A123" s="35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6"/>
    </row>
    <row r="124" spans="1:25">
      <c r="A124" s="35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6"/>
    </row>
    <row r="125" spans="1:25">
      <c r="A125" s="35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6"/>
    </row>
    <row r="126" spans="1:25">
      <c r="A126" s="35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6"/>
    </row>
    <row r="127" spans="1:25">
      <c r="A127" s="35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6"/>
    </row>
    <row r="128" spans="1:25">
      <c r="A128" s="35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6"/>
    </row>
    <row r="129" spans="1:25">
      <c r="A129" s="35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6"/>
    </row>
    <row r="130" spans="1:25">
      <c r="A130" s="35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6"/>
    </row>
    <row r="131" spans="1:25">
      <c r="A131" s="35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6"/>
    </row>
    <row r="132" spans="1:25">
      <c r="A132" s="35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6"/>
    </row>
    <row r="133" spans="1:25">
      <c r="A133" s="35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6"/>
    </row>
    <row r="134" spans="1:25">
      <c r="A134" s="35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6"/>
    </row>
    <row r="135" spans="1:25">
      <c r="A135" s="35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6"/>
    </row>
    <row r="136" spans="1:25">
      <c r="A136" s="35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6"/>
    </row>
    <row r="137" spans="1:25">
      <c r="A137" s="35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6"/>
    </row>
    <row r="138" spans="1:25">
      <c r="A138" s="35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6"/>
    </row>
    <row r="139" spans="1:25">
      <c r="A139" s="35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6"/>
    </row>
    <row r="140" spans="1:25">
      <c r="A140" s="35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6"/>
    </row>
    <row r="141" spans="1:25">
      <c r="A141" s="35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6"/>
    </row>
    <row r="142" spans="1:25">
      <c r="A142" s="35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6"/>
    </row>
    <row r="143" spans="1:25" ht="14.25" thickBot="1">
      <c r="A143" s="37" t="s">
        <v>184</v>
      </c>
      <c r="B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9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D54" workbookViewId="0">
      <selection activeCell="I85" sqref="I85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46152</v>
      </c>
      <c r="D3" s="10" t="str">
        <f>E3&amp;E4&amp;E5</f>
        <v>20260510OMR05</v>
      </c>
      <c r="E3" s="9" t="str">
        <f>TEXT(C3,"yyyymmdd")</f>
        <v>20260510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8</v>
      </c>
      <c r="E5" s="1" t="str">
        <f>C5</f>
        <v>05</v>
      </c>
    </row>
    <row r="7" spans="1:21" ht="14.25" thickBot="1">
      <c r="A7" s="1" t="s">
        <v>201</v>
      </c>
    </row>
    <row r="8" spans="1:21" ht="27.75" thickBot="1">
      <c r="B8" s="49" t="s">
        <v>83</v>
      </c>
      <c r="C8" s="50" t="s">
        <v>84</v>
      </c>
      <c r="D8" s="50" t="s">
        <v>85</v>
      </c>
      <c r="E8" s="50" t="s">
        <v>86</v>
      </c>
      <c r="F8" s="50" t="s">
        <v>87</v>
      </c>
      <c r="G8" s="50" t="s">
        <v>88</v>
      </c>
      <c r="H8" s="50" t="s">
        <v>78</v>
      </c>
      <c r="I8" s="50" t="s">
        <v>89</v>
      </c>
      <c r="J8" s="50" t="s">
        <v>90</v>
      </c>
      <c r="K8" s="50" t="s">
        <v>91</v>
      </c>
      <c r="L8" s="50" t="s">
        <v>92</v>
      </c>
      <c r="M8" s="50" t="s">
        <v>93</v>
      </c>
      <c r="N8" s="50" t="s">
        <v>94</v>
      </c>
      <c r="O8" s="50" t="s">
        <v>95</v>
      </c>
      <c r="P8" s="50" t="s">
        <v>96</v>
      </c>
      <c r="Q8" s="50" t="s">
        <v>97</v>
      </c>
      <c r="R8" s="50" t="s">
        <v>98</v>
      </c>
      <c r="S8" s="50" t="s">
        <v>99</v>
      </c>
      <c r="T8" s="50" t="s">
        <v>100</v>
      </c>
      <c r="U8" s="51" t="s">
        <v>101</v>
      </c>
    </row>
    <row r="9" spans="1:21" ht="14.25" thickTop="1">
      <c r="B9" s="40">
        <v>1</v>
      </c>
      <c r="C9" s="41" t="s">
        <v>292</v>
      </c>
      <c r="D9" s="41">
        <v>5.58</v>
      </c>
      <c r="E9" s="41">
        <v>5.88</v>
      </c>
      <c r="F9" s="41">
        <v>35.71</v>
      </c>
      <c r="G9" s="41">
        <v>31.13</v>
      </c>
      <c r="H9" s="41">
        <v>0.16</v>
      </c>
      <c r="I9" s="41" t="s">
        <v>287</v>
      </c>
      <c r="J9" s="41" t="s">
        <v>266</v>
      </c>
      <c r="K9" s="41">
        <v>6.6959999999999997</v>
      </c>
      <c r="L9" s="41">
        <v>3.76</v>
      </c>
      <c r="M9" s="41">
        <v>2.6775000000000002</v>
      </c>
      <c r="N9" s="41">
        <v>1.53249999999999</v>
      </c>
      <c r="O9" s="41">
        <v>3.2</v>
      </c>
      <c r="P9" s="41">
        <v>10.456</v>
      </c>
      <c r="Q9" s="41">
        <v>4.21</v>
      </c>
      <c r="R9" s="41">
        <v>3.2</v>
      </c>
      <c r="S9" s="41">
        <v>17.866</v>
      </c>
      <c r="T9" s="41">
        <v>6</v>
      </c>
      <c r="U9" s="42" t="s">
        <v>202</v>
      </c>
    </row>
    <row r="10" spans="1:21">
      <c r="B10" s="43">
        <v>2</v>
      </c>
      <c r="C10" s="44" t="s">
        <v>293</v>
      </c>
      <c r="D10" s="44">
        <v>4.53</v>
      </c>
      <c r="E10" s="44">
        <v>3.98</v>
      </c>
      <c r="F10" s="44">
        <v>33.33</v>
      </c>
      <c r="G10" s="44">
        <v>31.37</v>
      </c>
      <c r="H10" s="44">
        <v>0.18</v>
      </c>
      <c r="I10" s="44" t="s">
        <v>186</v>
      </c>
      <c r="J10" s="44" t="s">
        <v>266</v>
      </c>
      <c r="K10" s="44">
        <v>5.4359999999999999</v>
      </c>
      <c r="L10" s="44">
        <v>1</v>
      </c>
      <c r="M10" s="44">
        <v>2.0824999999999898</v>
      </c>
      <c r="N10" s="44">
        <v>1.5925</v>
      </c>
      <c r="O10" s="44">
        <v>2.6</v>
      </c>
      <c r="P10" s="44">
        <v>6.4359999999999999</v>
      </c>
      <c r="Q10" s="44">
        <v>3.6749999999999998</v>
      </c>
      <c r="R10" s="44">
        <v>2.6</v>
      </c>
      <c r="S10" s="44">
        <v>12.711</v>
      </c>
      <c r="T10" s="44">
        <v>10</v>
      </c>
      <c r="U10" s="45" t="s">
        <v>202</v>
      </c>
    </row>
    <row r="11" spans="1:21">
      <c r="B11" s="43">
        <v>3</v>
      </c>
      <c r="C11" s="44" t="s">
        <v>294</v>
      </c>
      <c r="D11" s="44">
        <v>6.83</v>
      </c>
      <c r="E11" s="44">
        <v>6.4</v>
      </c>
      <c r="F11" s="44">
        <v>30.04</v>
      </c>
      <c r="G11" s="44">
        <v>31.68</v>
      </c>
      <c r="H11" s="44">
        <v>0.14000000000000001</v>
      </c>
      <c r="I11" s="44" t="s">
        <v>284</v>
      </c>
      <c r="J11" s="44" t="s">
        <v>295</v>
      </c>
      <c r="K11" s="44">
        <v>8.1959999999999997</v>
      </c>
      <c r="L11" s="44">
        <v>4.8</v>
      </c>
      <c r="M11" s="44">
        <v>1.25999999999999</v>
      </c>
      <c r="N11" s="44">
        <v>1.67</v>
      </c>
      <c r="O11" s="44">
        <v>3.8</v>
      </c>
      <c r="P11" s="44">
        <v>12.996</v>
      </c>
      <c r="Q11" s="44">
        <v>2.9299999999999899</v>
      </c>
      <c r="R11" s="44">
        <v>3.8</v>
      </c>
      <c r="S11" s="44">
        <v>19.725999999999999</v>
      </c>
      <c r="T11" s="44">
        <v>15</v>
      </c>
      <c r="U11" s="45" t="s">
        <v>249</v>
      </c>
    </row>
    <row r="12" spans="1:21">
      <c r="B12" s="43">
        <v>4</v>
      </c>
      <c r="C12" s="44" t="s">
        <v>296</v>
      </c>
      <c r="D12" s="44">
        <v>6.23</v>
      </c>
      <c r="E12" s="44">
        <v>5.73</v>
      </c>
      <c r="F12" s="44">
        <v>46.6</v>
      </c>
      <c r="G12" s="44">
        <v>38</v>
      </c>
      <c r="H12" s="44">
        <v>0.17</v>
      </c>
      <c r="I12" s="44" t="s">
        <v>287</v>
      </c>
      <c r="J12" s="44" t="s">
        <v>297</v>
      </c>
      <c r="K12" s="44">
        <v>7.476</v>
      </c>
      <c r="L12" s="44">
        <v>3.46</v>
      </c>
      <c r="M12" s="44">
        <v>5</v>
      </c>
      <c r="N12" s="44">
        <v>3.25</v>
      </c>
      <c r="O12" s="44">
        <v>2.8999999999999901</v>
      </c>
      <c r="P12" s="44">
        <v>10.936</v>
      </c>
      <c r="Q12" s="44">
        <v>8.25</v>
      </c>
      <c r="R12" s="44">
        <v>2.8999999999999901</v>
      </c>
      <c r="S12" s="44">
        <v>22.085999999999999</v>
      </c>
      <c r="T12" s="44">
        <v>1</v>
      </c>
      <c r="U12" s="45" t="s">
        <v>288</v>
      </c>
    </row>
    <row r="13" spans="1:21">
      <c r="B13" s="43">
        <v>5</v>
      </c>
      <c r="C13" s="44" t="s">
        <v>298</v>
      </c>
      <c r="D13" s="44">
        <v>5.54</v>
      </c>
      <c r="E13" s="44">
        <v>5.49</v>
      </c>
      <c r="F13" s="44">
        <v>53.24</v>
      </c>
      <c r="G13" s="44">
        <v>39.42</v>
      </c>
      <c r="H13" s="44">
        <v>0.18</v>
      </c>
      <c r="I13" s="44" t="s">
        <v>186</v>
      </c>
      <c r="J13" s="44" t="s">
        <v>266</v>
      </c>
      <c r="K13" s="44">
        <v>6.6479999999999997</v>
      </c>
      <c r="L13" s="44">
        <v>2.98</v>
      </c>
      <c r="M13" s="44">
        <v>5</v>
      </c>
      <c r="N13" s="44">
        <v>3.605</v>
      </c>
      <c r="O13" s="44">
        <v>2.6</v>
      </c>
      <c r="P13" s="44">
        <v>9.6280000000000001</v>
      </c>
      <c r="Q13" s="44">
        <v>8.6050000000000004</v>
      </c>
      <c r="R13" s="44">
        <v>2.6</v>
      </c>
      <c r="S13" s="44">
        <v>20.832999999999998</v>
      </c>
      <c r="T13" s="44">
        <v>3</v>
      </c>
      <c r="U13" s="45" t="s">
        <v>283</v>
      </c>
    </row>
    <row r="14" spans="1:21" ht="14.25" thickBot="1">
      <c r="B14" s="46">
        <v>6</v>
      </c>
      <c r="C14" s="47" t="s">
        <v>299</v>
      </c>
      <c r="D14" s="47">
        <v>5.0199999999999996</v>
      </c>
      <c r="E14" s="47">
        <v>4.92</v>
      </c>
      <c r="F14" s="47">
        <v>40.69</v>
      </c>
      <c r="G14" s="47">
        <v>32.86</v>
      </c>
      <c r="H14" s="47">
        <v>0.14000000000000001</v>
      </c>
      <c r="I14" s="47" t="s">
        <v>186</v>
      </c>
      <c r="J14" s="47" t="s">
        <v>248</v>
      </c>
      <c r="K14" s="47">
        <v>6.0239999999999903</v>
      </c>
      <c r="L14" s="47">
        <v>1.8399999999999901</v>
      </c>
      <c r="M14" s="47">
        <v>3.9224999999999901</v>
      </c>
      <c r="N14" s="47">
        <v>1.9649999999999901</v>
      </c>
      <c r="O14" s="47">
        <v>3.8</v>
      </c>
      <c r="P14" s="47">
        <v>7.8639999999999901</v>
      </c>
      <c r="Q14" s="47">
        <v>5.8874999999999904</v>
      </c>
      <c r="R14" s="47">
        <v>3.8</v>
      </c>
      <c r="S14" s="47">
        <v>17.551499999999901</v>
      </c>
      <c r="T14" s="47">
        <v>13</v>
      </c>
      <c r="U14" s="48" t="s">
        <v>202</v>
      </c>
    </row>
    <row r="16" spans="1:21" ht="14.25" thickBot="1">
      <c r="A16" s="1" t="s">
        <v>187</v>
      </c>
    </row>
    <row r="17" spans="2:11" ht="14.25" thickBot="1">
      <c r="B17" s="52" t="s">
        <v>188</v>
      </c>
      <c r="C17" s="53">
        <v>123456</v>
      </c>
    </row>
    <row r="18" spans="2:11" ht="14.25" thickBot="1"/>
    <row r="19" spans="2:11" ht="14.25" thickBot="1">
      <c r="B19" s="54" t="s">
        <v>135</v>
      </c>
      <c r="C19" s="55" t="s">
        <v>189</v>
      </c>
      <c r="D19" s="55" t="s">
        <v>190</v>
      </c>
      <c r="E19" s="55" t="s">
        <v>191</v>
      </c>
      <c r="F19" s="55" t="s">
        <v>192</v>
      </c>
      <c r="G19" s="55" t="s">
        <v>193</v>
      </c>
      <c r="H19" s="55" t="s">
        <v>194</v>
      </c>
      <c r="I19" s="55" t="s">
        <v>195</v>
      </c>
      <c r="J19" s="55" t="s">
        <v>196</v>
      </c>
      <c r="K19" s="56" t="s">
        <v>197</v>
      </c>
    </row>
    <row r="20" spans="2:11" ht="14.25" thickTop="1">
      <c r="B20" s="40">
        <v>1</v>
      </c>
      <c r="C20" s="41" t="s">
        <v>198</v>
      </c>
      <c r="D20" s="79">
        <v>0.78700000000000003</v>
      </c>
      <c r="E20" s="79">
        <v>0</v>
      </c>
      <c r="F20" s="79">
        <v>0</v>
      </c>
      <c r="G20" s="79">
        <v>0</v>
      </c>
      <c r="H20" s="79">
        <v>0</v>
      </c>
      <c r="I20" s="79">
        <v>6.4000000000000001E-2</v>
      </c>
      <c r="J20" s="79">
        <v>6.4000000000000001E-2</v>
      </c>
      <c r="K20" s="80">
        <v>6.4000000000000001E-2</v>
      </c>
    </row>
    <row r="21" spans="2:11">
      <c r="B21" s="57">
        <v>1</v>
      </c>
      <c r="C21" s="58" t="s">
        <v>199</v>
      </c>
      <c r="D21" s="81">
        <v>0.875</v>
      </c>
      <c r="E21" s="81">
        <v>0</v>
      </c>
      <c r="F21" s="81">
        <v>0</v>
      </c>
      <c r="G21" s="81">
        <v>0</v>
      </c>
      <c r="H21" s="81">
        <v>0</v>
      </c>
      <c r="I21" s="81">
        <v>4.2000000000000003E-2</v>
      </c>
      <c r="J21" s="81">
        <v>0</v>
      </c>
      <c r="K21" s="82">
        <v>4.2000000000000003E-2</v>
      </c>
    </row>
    <row r="22" spans="2:11">
      <c r="B22" s="59">
        <v>2</v>
      </c>
      <c r="C22" s="60" t="s">
        <v>198</v>
      </c>
      <c r="D22" s="83">
        <v>0</v>
      </c>
      <c r="E22" s="83">
        <v>0.121</v>
      </c>
      <c r="F22" s="83">
        <v>0</v>
      </c>
      <c r="G22" s="83">
        <v>0</v>
      </c>
      <c r="H22" s="83">
        <v>0.39399999999999996</v>
      </c>
      <c r="I22" s="83">
        <v>0</v>
      </c>
      <c r="J22" s="83">
        <v>0</v>
      </c>
      <c r="K22" s="84">
        <v>0</v>
      </c>
    </row>
    <row r="23" spans="2:11">
      <c r="B23" s="61">
        <v>2</v>
      </c>
      <c r="C23" s="62" t="s">
        <v>199</v>
      </c>
      <c r="D23" s="85">
        <v>0</v>
      </c>
      <c r="E23" s="85">
        <v>0.17600000000000002</v>
      </c>
      <c r="F23" s="85">
        <v>0</v>
      </c>
      <c r="G23" s="85">
        <v>0</v>
      </c>
      <c r="H23" s="85">
        <v>0.35299999999999998</v>
      </c>
      <c r="I23" s="85">
        <v>0</v>
      </c>
      <c r="J23" s="85">
        <v>0</v>
      </c>
      <c r="K23" s="86">
        <v>0</v>
      </c>
    </row>
    <row r="24" spans="2:11">
      <c r="B24" s="63">
        <v>3</v>
      </c>
      <c r="C24" s="64" t="s">
        <v>198</v>
      </c>
      <c r="D24" s="87">
        <v>0</v>
      </c>
      <c r="E24" s="87">
        <v>2.7999999999999997E-2</v>
      </c>
      <c r="F24" s="87">
        <v>5.5999999999999994E-2</v>
      </c>
      <c r="G24" s="87">
        <v>0.111</v>
      </c>
      <c r="H24" s="87">
        <v>0</v>
      </c>
      <c r="I24" s="87">
        <v>0</v>
      </c>
      <c r="J24" s="87">
        <v>0</v>
      </c>
      <c r="K24" s="88">
        <v>0</v>
      </c>
    </row>
    <row r="25" spans="2:11">
      <c r="B25" s="65">
        <v>3</v>
      </c>
      <c r="C25" s="66" t="s">
        <v>199</v>
      </c>
      <c r="D25" s="89">
        <v>0</v>
      </c>
      <c r="E25" s="89">
        <v>4.2999999999999997E-2</v>
      </c>
      <c r="F25" s="89">
        <v>4.2999999999999997E-2</v>
      </c>
      <c r="G25" s="89">
        <v>4.2999999999999997E-2</v>
      </c>
      <c r="H25" s="89">
        <v>0</v>
      </c>
      <c r="I25" s="89">
        <v>0</v>
      </c>
      <c r="J25" s="89">
        <v>0</v>
      </c>
      <c r="K25" s="90">
        <v>0</v>
      </c>
    </row>
    <row r="26" spans="2:11">
      <c r="B26" s="67">
        <v>4</v>
      </c>
      <c r="C26" s="68" t="s">
        <v>198</v>
      </c>
      <c r="D26" s="91">
        <v>0</v>
      </c>
      <c r="E26" s="91">
        <v>0</v>
      </c>
      <c r="F26" s="91">
        <v>6.3E-2</v>
      </c>
      <c r="G26" s="91">
        <v>0</v>
      </c>
      <c r="H26" s="91">
        <v>0</v>
      </c>
      <c r="I26" s="91">
        <v>0</v>
      </c>
      <c r="J26" s="91">
        <v>0</v>
      </c>
      <c r="K26" s="92">
        <v>0</v>
      </c>
    </row>
    <row r="27" spans="2:11">
      <c r="B27" s="69">
        <v>4</v>
      </c>
      <c r="C27" s="70" t="s">
        <v>199</v>
      </c>
      <c r="D27" s="93">
        <v>0</v>
      </c>
      <c r="E27" s="93">
        <v>0</v>
      </c>
      <c r="F27" s="93">
        <v>0.16699999999999998</v>
      </c>
      <c r="G27" s="93">
        <v>0</v>
      </c>
      <c r="H27" s="93">
        <v>0</v>
      </c>
      <c r="I27" s="93">
        <v>0</v>
      </c>
      <c r="J27" s="93">
        <v>0</v>
      </c>
      <c r="K27" s="94">
        <v>0</v>
      </c>
    </row>
    <row r="28" spans="2:11">
      <c r="B28" s="71">
        <v>5</v>
      </c>
      <c r="C28" s="72" t="s">
        <v>198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5">
        <v>0</v>
      </c>
      <c r="K28" s="96">
        <v>0</v>
      </c>
    </row>
    <row r="29" spans="2:11">
      <c r="B29" s="73">
        <v>5</v>
      </c>
      <c r="C29" s="74" t="s">
        <v>199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8">
        <v>0</v>
      </c>
    </row>
    <row r="30" spans="2:11">
      <c r="B30" s="75">
        <v>6</v>
      </c>
      <c r="C30" s="76" t="s">
        <v>198</v>
      </c>
      <c r="D30" s="99">
        <v>0</v>
      </c>
      <c r="E30" s="99">
        <v>5.9000000000000004E-2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100">
        <v>0</v>
      </c>
    </row>
    <row r="31" spans="2:11" ht="14.25" thickBot="1">
      <c r="B31" s="77">
        <v>6</v>
      </c>
      <c r="C31" s="78" t="s">
        <v>199</v>
      </c>
      <c r="D31" s="101">
        <v>0</v>
      </c>
      <c r="E31" s="101">
        <v>0</v>
      </c>
      <c r="F31" s="101">
        <v>0</v>
      </c>
      <c r="G31" s="101">
        <v>0</v>
      </c>
      <c r="H31" s="101">
        <v>0</v>
      </c>
      <c r="I31" s="101">
        <v>0</v>
      </c>
      <c r="J31" s="101">
        <v>0</v>
      </c>
      <c r="K31" s="102">
        <v>0</v>
      </c>
    </row>
    <row r="33" spans="1:24">
      <c r="A33" s="1" t="s">
        <v>200</v>
      </c>
    </row>
    <row r="36" spans="1:24" ht="14.25" thickBot="1"/>
    <row r="37" spans="1:24" ht="41.25" thickBot="1">
      <c r="B37" s="49" t="s">
        <v>83</v>
      </c>
      <c r="C37" s="50" t="s">
        <v>203</v>
      </c>
      <c r="D37" s="50" t="s">
        <v>269</v>
      </c>
      <c r="E37" s="50" t="s">
        <v>270</v>
      </c>
      <c r="F37" s="50" t="s">
        <v>271</v>
      </c>
      <c r="G37" s="50" t="s">
        <v>272</v>
      </c>
      <c r="H37" s="50" t="s">
        <v>246</v>
      </c>
      <c r="I37" s="50" t="s">
        <v>204</v>
      </c>
      <c r="J37" s="50" t="s">
        <v>205</v>
      </c>
      <c r="K37" s="50" t="s">
        <v>206</v>
      </c>
      <c r="L37" s="50" t="s">
        <v>207</v>
      </c>
      <c r="M37" s="50" t="s">
        <v>208</v>
      </c>
      <c r="N37" s="50" t="s">
        <v>209</v>
      </c>
      <c r="O37" s="50" t="s">
        <v>210</v>
      </c>
      <c r="P37" s="50" t="s">
        <v>211</v>
      </c>
      <c r="Q37" s="50" t="s">
        <v>212</v>
      </c>
      <c r="R37" s="50" t="s">
        <v>219</v>
      </c>
      <c r="S37" s="50" t="s">
        <v>213</v>
      </c>
      <c r="T37" s="50" t="s">
        <v>214</v>
      </c>
      <c r="U37" s="50" t="s">
        <v>215</v>
      </c>
      <c r="V37" s="50" t="s">
        <v>216</v>
      </c>
      <c r="W37" s="50" t="s">
        <v>217</v>
      </c>
      <c r="X37" s="51" t="s">
        <v>218</v>
      </c>
    </row>
    <row r="38" spans="1:24" ht="14.25" thickTop="1">
      <c r="B38" s="103">
        <v>1</v>
      </c>
      <c r="C38" s="104">
        <v>1</v>
      </c>
      <c r="D38" s="104">
        <v>6.81</v>
      </c>
      <c r="E38" s="104">
        <v>37.43</v>
      </c>
      <c r="F38" s="104">
        <v>6.33</v>
      </c>
      <c r="G38" s="104">
        <v>7.4</v>
      </c>
      <c r="H38" s="104">
        <v>7.0000000000000007E-2</v>
      </c>
      <c r="I38" s="104">
        <v>-1.00000000000006E-2</v>
      </c>
      <c r="J38" s="104">
        <v>3</v>
      </c>
      <c r="K38" s="104">
        <v>1</v>
      </c>
      <c r="L38" s="104">
        <v>4</v>
      </c>
      <c r="M38" s="104">
        <v>3</v>
      </c>
      <c r="N38" s="104">
        <v>2</v>
      </c>
      <c r="O38" s="104">
        <v>12</v>
      </c>
      <c r="P38" s="104">
        <v>3</v>
      </c>
      <c r="Q38" s="104">
        <v>7</v>
      </c>
      <c r="R38" s="104">
        <v>5.375</v>
      </c>
      <c r="S38" s="104">
        <v>22</v>
      </c>
      <c r="T38" s="104">
        <v>0</v>
      </c>
      <c r="U38" s="104" t="s">
        <v>221</v>
      </c>
      <c r="V38" s="104">
        <v>0</v>
      </c>
      <c r="W38" s="104">
        <v>0</v>
      </c>
      <c r="X38" s="105">
        <v>22</v>
      </c>
    </row>
    <row r="39" spans="1:24">
      <c r="B39" s="29">
        <v>2</v>
      </c>
      <c r="C39" s="11">
        <v>2</v>
      </c>
      <c r="D39" s="11">
        <v>6.85</v>
      </c>
      <c r="E39" s="11">
        <v>37</v>
      </c>
      <c r="F39" s="11">
        <v>6.17</v>
      </c>
      <c r="G39" s="11">
        <v>7.5</v>
      </c>
      <c r="H39" s="11">
        <v>0.14000000000000001</v>
      </c>
      <c r="I39" s="11">
        <v>2.9999999999999302E-2</v>
      </c>
      <c r="J39" s="11">
        <v>3</v>
      </c>
      <c r="K39" s="11">
        <v>1</v>
      </c>
      <c r="L39" s="11">
        <v>5</v>
      </c>
      <c r="M39" s="11">
        <v>2</v>
      </c>
      <c r="N39" s="11">
        <v>1</v>
      </c>
      <c r="O39" s="11">
        <v>11</v>
      </c>
      <c r="P39" s="11">
        <v>2</v>
      </c>
      <c r="Q39" s="11">
        <v>7</v>
      </c>
      <c r="R39" s="11">
        <v>4.6100000000000003</v>
      </c>
      <c r="S39" s="11">
        <v>20</v>
      </c>
      <c r="T39" s="11">
        <v>0</v>
      </c>
      <c r="U39" s="11" t="s">
        <v>247</v>
      </c>
      <c r="V39" s="11">
        <v>1</v>
      </c>
      <c r="W39" s="11">
        <v>0</v>
      </c>
      <c r="X39" s="12">
        <v>20</v>
      </c>
    </row>
    <row r="40" spans="1:24">
      <c r="B40" s="29">
        <v>3</v>
      </c>
      <c r="C40" s="11">
        <v>3</v>
      </c>
      <c r="D40" s="11">
        <v>6.89</v>
      </c>
      <c r="E40" s="11">
        <v>37.43</v>
      </c>
      <c r="F40" s="11">
        <v>6.57</v>
      </c>
      <c r="G40" s="11">
        <v>7.4</v>
      </c>
      <c r="H40" s="11">
        <v>0.04</v>
      </c>
      <c r="I40" s="11">
        <v>6.9999999999999396E-2</v>
      </c>
      <c r="J40" s="11">
        <v>2</v>
      </c>
      <c r="K40" s="11">
        <v>1</v>
      </c>
      <c r="L40" s="11">
        <v>3</v>
      </c>
      <c r="M40" s="11">
        <v>3</v>
      </c>
      <c r="N40" s="11">
        <v>3</v>
      </c>
      <c r="O40" s="11">
        <v>11</v>
      </c>
      <c r="P40" s="11">
        <v>4</v>
      </c>
      <c r="Q40" s="11">
        <v>6</v>
      </c>
      <c r="R40" s="11">
        <v>5.9300000000000104</v>
      </c>
      <c r="S40" s="11">
        <v>21</v>
      </c>
      <c r="T40" s="11">
        <v>0</v>
      </c>
      <c r="U40" s="11" t="s">
        <v>221</v>
      </c>
      <c r="V40" s="11">
        <v>0</v>
      </c>
      <c r="W40" s="11">
        <v>1</v>
      </c>
      <c r="X40" s="12">
        <v>22</v>
      </c>
    </row>
    <row r="41" spans="1:24">
      <c r="B41" s="29">
        <v>4</v>
      </c>
      <c r="C41" s="11">
        <v>4</v>
      </c>
      <c r="D41" s="11">
        <v>6.95</v>
      </c>
      <c r="E41" s="11">
        <v>37.5</v>
      </c>
      <c r="F41" s="11">
        <v>6.77</v>
      </c>
      <c r="G41" s="11">
        <v>7.3</v>
      </c>
      <c r="H41" s="11">
        <v>-0.01</v>
      </c>
      <c r="I41" s="11">
        <v>0.12999999999999901</v>
      </c>
      <c r="J41" s="11">
        <v>1</v>
      </c>
      <c r="K41" s="11">
        <v>1</v>
      </c>
      <c r="L41" s="11">
        <v>2</v>
      </c>
      <c r="M41" s="11">
        <v>4</v>
      </c>
      <c r="N41" s="11">
        <v>5</v>
      </c>
      <c r="O41" s="11">
        <v>12</v>
      </c>
      <c r="P41" s="11">
        <v>6</v>
      </c>
      <c r="Q41" s="11">
        <v>6</v>
      </c>
      <c r="R41" s="11">
        <v>8.0399999999999991</v>
      </c>
      <c r="S41" s="11">
        <v>24</v>
      </c>
      <c r="T41" s="11">
        <v>2</v>
      </c>
      <c r="U41" s="11" t="s">
        <v>220</v>
      </c>
      <c r="V41" s="11">
        <v>0</v>
      </c>
      <c r="W41" s="11">
        <v>0</v>
      </c>
      <c r="X41" s="12">
        <v>26</v>
      </c>
    </row>
    <row r="42" spans="1:24">
      <c r="B42" s="29">
        <v>5</v>
      </c>
      <c r="C42" s="11">
        <v>5</v>
      </c>
      <c r="D42" s="11">
        <v>6.9</v>
      </c>
      <c r="E42" s="11">
        <v>37.57</v>
      </c>
      <c r="F42" s="11">
        <v>6.73</v>
      </c>
      <c r="G42" s="11">
        <v>7.43</v>
      </c>
      <c r="H42" s="11">
        <v>0.01</v>
      </c>
      <c r="I42" s="11">
        <v>0.08</v>
      </c>
      <c r="J42" s="11">
        <v>2</v>
      </c>
      <c r="K42" s="11">
        <v>1</v>
      </c>
      <c r="L42" s="11">
        <v>2</v>
      </c>
      <c r="M42" s="11">
        <v>3</v>
      </c>
      <c r="N42" s="11">
        <v>4</v>
      </c>
      <c r="O42" s="11">
        <v>11</v>
      </c>
      <c r="P42" s="11">
        <v>5</v>
      </c>
      <c r="Q42" s="11">
        <v>5</v>
      </c>
      <c r="R42" s="11">
        <v>5.4649999999999999</v>
      </c>
      <c r="S42" s="11">
        <v>21</v>
      </c>
      <c r="T42" s="11">
        <v>0</v>
      </c>
      <c r="U42" s="11" t="s">
        <v>221</v>
      </c>
      <c r="V42" s="11">
        <v>0</v>
      </c>
      <c r="W42" s="11">
        <v>1</v>
      </c>
      <c r="X42" s="12">
        <v>22</v>
      </c>
    </row>
    <row r="43" spans="1:24" ht="14.25" thickBot="1">
      <c r="B43" s="30">
        <v>6</v>
      </c>
      <c r="C43" s="13">
        <v>6</v>
      </c>
      <c r="D43" s="13">
        <v>6.86</v>
      </c>
      <c r="E43" s="13">
        <v>38.03</v>
      </c>
      <c r="F43" s="13">
        <v>6.67</v>
      </c>
      <c r="G43" s="13">
        <v>7.43</v>
      </c>
      <c r="H43" s="13">
        <v>0.03</v>
      </c>
      <c r="I43" s="13">
        <v>0.04</v>
      </c>
      <c r="J43" s="13">
        <v>3</v>
      </c>
      <c r="K43" s="13">
        <v>1</v>
      </c>
      <c r="L43" s="13">
        <v>2</v>
      </c>
      <c r="M43" s="13">
        <v>3</v>
      </c>
      <c r="N43" s="13">
        <v>4</v>
      </c>
      <c r="O43" s="13">
        <v>12</v>
      </c>
      <c r="P43" s="13">
        <v>5</v>
      </c>
      <c r="Q43" s="13">
        <v>5</v>
      </c>
      <c r="R43" s="13">
        <v>6.3</v>
      </c>
      <c r="S43" s="13">
        <v>22</v>
      </c>
      <c r="T43" s="13">
        <v>0</v>
      </c>
      <c r="U43" s="13" t="s">
        <v>221</v>
      </c>
      <c r="V43" s="13">
        <v>0</v>
      </c>
      <c r="W43" s="13">
        <v>0</v>
      </c>
      <c r="X43" s="14">
        <v>22</v>
      </c>
    </row>
    <row r="46" spans="1:24">
      <c r="A46" s="1" t="s">
        <v>222</v>
      </c>
    </row>
    <row r="48" spans="1:24" ht="14.25" thickBot="1">
      <c r="F48" s="1" t="s">
        <v>286</v>
      </c>
    </row>
    <row r="49" spans="1:18" ht="41.25" thickBot="1">
      <c r="B49" s="49" t="s">
        <v>83</v>
      </c>
      <c r="C49" s="50" t="s">
        <v>234</v>
      </c>
      <c r="D49" s="50" t="s">
        <v>223</v>
      </c>
      <c r="E49" s="50" t="s">
        <v>224</v>
      </c>
      <c r="F49" s="110" t="s">
        <v>225</v>
      </c>
      <c r="G49" s="50" t="s">
        <v>226</v>
      </c>
      <c r="H49" s="50" t="s">
        <v>227</v>
      </c>
      <c r="I49" s="50" t="s">
        <v>228</v>
      </c>
      <c r="J49" s="50" t="s">
        <v>229</v>
      </c>
      <c r="K49" s="50" t="s">
        <v>230</v>
      </c>
      <c r="L49" s="50" t="s">
        <v>231</v>
      </c>
      <c r="M49" s="50" t="s">
        <v>232</v>
      </c>
      <c r="N49" s="51" t="s">
        <v>233</v>
      </c>
    </row>
    <row r="50" spans="1:18" ht="14.25" thickTop="1">
      <c r="B50" s="103">
        <v>1</v>
      </c>
      <c r="C50" s="104">
        <f t="shared" ref="C50:C55" si="0">C38</f>
        <v>1</v>
      </c>
      <c r="D50" s="109">
        <v>0.78823529411764703</v>
      </c>
      <c r="E50" s="109">
        <v>0.75</v>
      </c>
      <c r="F50" s="109">
        <v>1.0674999999999999</v>
      </c>
      <c r="G50" s="104" t="s">
        <v>235</v>
      </c>
      <c r="H50" s="104" t="s">
        <v>235</v>
      </c>
      <c r="I50" s="104" t="s">
        <v>235</v>
      </c>
      <c r="J50" s="104" t="s">
        <v>235</v>
      </c>
      <c r="K50" s="104" t="s">
        <v>289</v>
      </c>
      <c r="L50" s="104">
        <v>1</v>
      </c>
      <c r="M50" s="104">
        <v>23</v>
      </c>
      <c r="N50" s="105">
        <v>0</v>
      </c>
    </row>
    <row r="51" spans="1:18">
      <c r="B51" s="29">
        <v>2</v>
      </c>
      <c r="C51" s="11">
        <f t="shared" si="0"/>
        <v>2</v>
      </c>
      <c r="D51" s="107">
        <v>0.72463768115941996</v>
      </c>
      <c r="E51" s="107">
        <v>0.77142857142857102</v>
      </c>
      <c r="F51" s="107">
        <v>0.21120000000000003</v>
      </c>
      <c r="G51" s="11" t="s">
        <v>235</v>
      </c>
      <c r="H51" s="11" t="s">
        <v>235</v>
      </c>
      <c r="I51" s="11" t="s">
        <v>235</v>
      </c>
      <c r="J51" s="11" t="s">
        <v>235</v>
      </c>
      <c r="K51" s="11" t="s">
        <v>220</v>
      </c>
      <c r="L51" s="11">
        <v>1</v>
      </c>
      <c r="M51" s="11">
        <v>21</v>
      </c>
      <c r="N51" s="12">
        <v>0</v>
      </c>
    </row>
    <row r="52" spans="1:18">
      <c r="B52" s="29">
        <v>3</v>
      </c>
      <c r="C52" s="11">
        <f t="shared" si="0"/>
        <v>3</v>
      </c>
      <c r="D52" s="107">
        <v>0.68032786885245899</v>
      </c>
      <c r="E52" s="107">
        <v>0.70370370370370305</v>
      </c>
      <c r="F52" s="107">
        <v>0.15609000000000001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22</v>
      </c>
      <c r="N52" s="12">
        <v>0</v>
      </c>
    </row>
    <row r="53" spans="1:18">
      <c r="B53" s="29">
        <v>4</v>
      </c>
      <c r="C53" s="11">
        <f t="shared" si="0"/>
        <v>4</v>
      </c>
      <c r="D53" s="107">
        <v>0.62745098039215597</v>
      </c>
      <c r="E53" s="107">
        <v>0.68421052631578905</v>
      </c>
      <c r="F53" s="107">
        <v>0.20707999999999999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282</v>
      </c>
      <c r="L53" s="11">
        <v>1</v>
      </c>
      <c r="M53" s="11">
        <v>27</v>
      </c>
      <c r="N53" s="12">
        <v>0</v>
      </c>
    </row>
    <row r="54" spans="1:18">
      <c r="B54" s="29">
        <v>5</v>
      </c>
      <c r="C54" s="11">
        <f t="shared" si="0"/>
        <v>5</v>
      </c>
      <c r="D54" s="107">
        <v>0.76190476190476097</v>
      </c>
      <c r="E54" s="107">
        <v>0.7</v>
      </c>
      <c r="F54" s="107">
        <v>0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236</v>
      </c>
      <c r="L54" s="11">
        <v>0</v>
      </c>
      <c r="M54" s="11">
        <v>22</v>
      </c>
      <c r="N54" s="12">
        <v>0</v>
      </c>
    </row>
    <row r="55" spans="1:18" ht="14.25" thickBot="1">
      <c r="B55" s="30">
        <v>6</v>
      </c>
      <c r="C55" s="13">
        <f t="shared" si="0"/>
        <v>6</v>
      </c>
      <c r="D55" s="108">
        <v>0.72857142857142798</v>
      </c>
      <c r="E55" s="108">
        <v>0.70588235294117596</v>
      </c>
      <c r="F55" s="108">
        <v>0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236</v>
      </c>
      <c r="L55" s="13">
        <v>0</v>
      </c>
      <c r="M55" s="13">
        <v>22</v>
      </c>
      <c r="N55" s="14">
        <v>0</v>
      </c>
    </row>
    <row r="56" spans="1:18" ht="14.25" thickBot="1"/>
    <row r="57" spans="1:18" ht="27">
      <c r="B57" s="25" t="s">
        <v>237</v>
      </c>
      <c r="C57" s="26" t="s">
        <v>238</v>
      </c>
      <c r="D57" s="26" t="s">
        <v>239</v>
      </c>
      <c r="E57" s="26" t="s">
        <v>240</v>
      </c>
      <c r="F57" s="26" t="s">
        <v>241</v>
      </c>
      <c r="G57" s="26" t="s">
        <v>242</v>
      </c>
      <c r="H57" s="27" t="s">
        <v>243</v>
      </c>
    </row>
    <row r="58" spans="1:18">
      <c r="B58" s="29" t="s">
        <v>244</v>
      </c>
      <c r="C58" s="11">
        <f>INDEX(C50:C55, MATCH(MAX(M50:M55), M50:M55, 0))</f>
        <v>4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1・3・5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135</v>
      </c>
      <c r="G58" s="11" t="str">
        <f>IF(E58="", "", _xlfn.TEXTJOIN("",,_xlfn.TEXTSPLIT(E58,"・")))</f>
        <v/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4-135-13526</v>
      </c>
    </row>
    <row r="59" spans="1:18" ht="14.25" thickBot="1">
      <c r="B59" s="30" t="s">
        <v>245</v>
      </c>
      <c r="C59" s="13" cm="1">
        <f t="array" ref="C59">INDEX(C50:C55,
   MATCH(
      LARGE(IF(C50:C55&lt;&gt;C58, M50:M55), 1),
      IF(C50:C55&lt;&gt;C58, M50:M55),
   0))</f>
        <v>1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4・3・5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/>
      </c>
      <c r="F59" s="13" t="str">
        <f>_xlfn.TEXTJOIN("",,_xlfn.TEXTSPLIT(D59,"・"))</f>
        <v>435</v>
      </c>
      <c r="G59" s="13" t="str">
        <f>IF(E59="", "", _xlfn.TEXTJOIN("",,_xlfn.TEXTSPLIT(E59,"・")))</f>
        <v/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1-435-43526</v>
      </c>
      <c r="J59" s="106"/>
    </row>
    <row r="62" spans="1:18">
      <c r="A62" s="1" t="s">
        <v>250</v>
      </c>
    </row>
    <row r="63" spans="1:18" ht="14.25" thickBot="1">
      <c r="I63" s="1" t="s">
        <v>274</v>
      </c>
    </row>
    <row r="64" spans="1:18" ht="14.25" thickBot="1">
      <c r="B64" s="140" t="s">
        <v>251</v>
      </c>
      <c r="C64" s="140" t="s">
        <v>252</v>
      </c>
      <c r="D64" s="140" t="s">
        <v>253</v>
      </c>
      <c r="E64" s="140" t="s">
        <v>254</v>
      </c>
      <c r="F64" s="140" t="s">
        <v>255</v>
      </c>
      <c r="G64" s="140" t="s">
        <v>256</v>
      </c>
      <c r="H64" s="150" t="s">
        <v>285</v>
      </c>
      <c r="I64" s="147" t="s">
        <v>251</v>
      </c>
      <c r="J64" s="148" t="str">
        <f>VLOOKUP($C$4,非表示!$G$2:$K$25,3,FALSE)</f>
        <v>展示タイム</v>
      </c>
      <c r="K64" s="148" t="str">
        <f>VLOOKUP($C$4,非表示!$G$2:$K$25,4,FALSE)</f>
        <v>周回</v>
      </c>
      <c r="L64" s="148" t="str">
        <f>VLOOKUP($C$4,非表示!$G$2:$K$25,5,FALSE)</f>
        <v xml:space="preserve">直線   </v>
      </c>
      <c r="M64" s="148" t="s">
        <v>275</v>
      </c>
      <c r="N64" s="148" t="s">
        <v>280</v>
      </c>
      <c r="O64" s="148" t="s">
        <v>276</v>
      </c>
      <c r="P64" s="148" t="s">
        <v>277</v>
      </c>
      <c r="Q64" s="148" t="s">
        <v>278</v>
      </c>
      <c r="R64" s="149" t="s">
        <v>279</v>
      </c>
    </row>
    <row r="65" spans="2:18" ht="14.25" thickTop="1">
      <c r="B65" s="103">
        <v>1</v>
      </c>
      <c r="C65" s="104" t="s">
        <v>257</v>
      </c>
      <c r="D65" s="138">
        <v>7.7899999999999997E-2</v>
      </c>
      <c r="E65" s="138">
        <v>-4.1300000000000003E-2</v>
      </c>
      <c r="F65" s="138">
        <v>-9.7000000000000003E-3</v>
      </c>
      <c r="G65" s="139">
        <v>2.69E-2</v>
      </c>
      <c r="H65" s="151">
        <v>-1</v>
      </c>
      <c r="I65" s="29">
        <v>1</v>
      </c>
      <c r="J65" s="11">
        <f>D38</f>
        <v>6.81</v>
      </c>
      <c r="K65" s="11">
        <f>E38</f>
        <v>37.43</v>
      </c>
      <c r="L65" s="11">
        <f>IF($L$64=$F$37,F38,G38)</f>
        <v>7.4</v>
      </c>
      <c r="M65" s="11">
        <f>J65+K65+L65</f>
        <v>51.64</v>
      </c>
      <c r="N65" s="11">
        <f>M65-$M$71</f>
        <v>-0.14000000000000057</v>
      </c>
      <c r="O65" s="111">
        <f>INDEX(D65:D72, MATCH($N$65, $H$65:$H$72, 1))</f>
        <v>-3.3300000000000003E-2</v>
      </c>
      <c r="P65" s="111">
        <f t="shared" ref="P65:R65" si="1">INDEX(E65:E72, MATCH($N$65, $H$65:$H$72, 1))</f>
        <v>3.2000000000000001E-2</v>
      </c>
      <c r="Q65" s="111">
        <f t="shared" si="1"/>
        <v>-8.9999999999999993E-3</v>
      </c>
      <c r="R65" s="123">
        <f t="shared" si="1"/>
        <v>-1.03E-2</v>
      </c>
    </row>
    <row r="66" spans="2:18">
      <c r="B66" s="29">
        <v>1</v>
      </c>
      <c r="C66" s="112" t="s">
        <v>258</v>
      </c>
      <c r="D66" s="111">
        <v>1.7899999999999999E-2</v>
      </c>
      <c r="E66" s="111">
        <v>-1.1900000000000001E-2</v>
      </c>
      <c r="F66" s="111">
        <v>-7.7999999999999996E-3</v>
      </c>
      <c r="G66" s="123">
        <v>-1.8E-3</v>
      </c>
      <c r="H66" s="151">
        <v>-0.6</v>
      </c>
      <c r="I66" s="124">
        <v>2</v>
      </c>
      <c r="J66" s="113">
        <f t="shared" ref="J66:K66" si="2">D39</f>
        <v>6.85</v>
      </c>
      <c r="K66" s="113">
        <f t="shared" si="2"/>
        <v>37</v>
      </c>
      <c r="L66" s="113">
        <f t="shared" ref="L66:L70" si="3">IF($L$64=$F$37,F39,G39)</f>
        <v>7.5</v>
      </c>
      <c r="M66" s="113">
        <f t="shared" ref="M66:M70" si="4">J66+K66+L66</f>
        <v>51.35</v>
      </c>
      <c r="N66" s="113">
        <f t="shared" ref="N66:N70" si="5">M66-$M$71</f>
        <v>-0.42999999999999972</v>
      </c>
      <c r="O66" s="114">
        <f>INDEX(D74:D81, MATCH($N$66, $H$74:$H$81, 1))</f>
        <v>7.1499999999999994E-2</v>
      </c>
      <c r="P66" s="114">
        <f t="shared" ref="P66:R66" si="6">INDEX(E74:E81, MATCH($N$66, $H$74:$H$81, 1))</f>
        <v>2.5999999999999999E-2</v>
      </c>
      <c r="Q66" s="114">
        <f t="shared" si="6"/>
        <v>-6.4799999999999996E-2</v>
      </c>
      <c r="R66" s="125">
        <f t="shared" si="6"/>
        <v>3.2599999999999997E-2</v>
      </c>
    </row>
    <row r="67" spans="2:18">
      <c r="B67" s="29">
        <v>1</v>
      </c>
      <c r="C67" s="112" t="s">
        <v>259</v>
      </c>
      <c r="D67" s="111">
        <v>5.9999999999999995E-4</v>
      </c>
      <c r="E67" s="111">
        <v>3.7000000000000002E-3</v>
      </c>
      <c r="F67" s="111">
        <v>8.6E-3</v>
      </c>
      <c r="G67" s="123">
        <v>1.29E-2</v>
      </c>
      <c r="H67" s="151">
        <v>-0.4</v>
      </c>
      <c r="I67" s="126">
        <v>3</v>
      </c>
      <c r="J67" s="115">
        <f t="shared" ref="J67:K67" si="7">D40</f>
        <v>6.89</v>
      </c>
      <c r="K67" s="115">
        <f t="shared" si="7"/>
        <v>37.43</v>
      </c>
      <c r="L67" s="115">
        <f t="shared" si="3"/>
        <v>7.4</v>
      </c>
      <c r="M67" s="115">
        <f t="shared" si="4"/>
        <v>51.72</v>
      </c>
      <c r="N67" s="115">
        <f t="shared" si="5"/>
        <v>-6.0000000000002274E-2</v>
      </c>
      <c r="O67" s="116">
        <f>INDEX(D83:D90, MATCH($N$67, $H$83:$H$90, 1))</f>
        <v>1.1000000000000001E-3</v>
      </c>
      <c r="P67" s="116">
        <f t="shared" ref="P67:R67" si="8">INDEX(E83:E90, MATCH($N$67, $H$83:$H$90, 1))</f>
        <v>1.66E-2</v>
      </c>
      <c r="Q67" s="116">
        <f t="shared" si="8"/>
        <v>1.78E-2</v>
      </c>
      <c r="R67" s="127">
        <f t="shared" si="8"/>
        <v>3.5499999999999997E-2</v>
      </c>
    </row>
    <row r="68" spans="2:18">
      <c r="B68" s="29">
        <v>1</v>
      </c>
      <c r="C68" s="112" t="s">
        <v>260</v>
      </c>
      <c r="D68" s="111">
        <v>-3.3300000000000003E-2</v>
      </c>
      <c r="E68" s="111">
        <v>3.2000000000000001E-2</v>
      </c>
      <c r="F68" s="111">
        <v>-8.9999999999999993E-3</v>
      </c>
      <c r="G68" s="123">
        <v>-1.03E-2</v>
      </c>
      <c r="H68" s="151">
        <v>-0.2</v>
      </c>
      <c r="I68" s="128">
        <v>4</v>
      </c>
      <c r="J68" s="121">
        <f t="shared" ref="J68:K68" si="9">D41</f>
        <v>6.95</v>
      </c>
      <c r="K68" s="121">
        <f t="shared" si="9"/>
        <v>37.5</v>
      </c>
      <c r="L68" s="121">
        <f t="shared" si="3"/>
        <v>7.3</v>
      </c>
      <c r="M68" s="121">
        <f t="shared" si="4"/>
        <v>51.75</v>
      </c>
      <c r="N68" s="121">
        <f t="shared" si="5"/>
        <v>-3.0000000000001137E-2</v>
      </c>
      <c r="O68" s="122">
        <f>INDEX(D92:D99, MATCH($N$68, $H$92:$H$99, 1))</f>
        <v>3.49E-2</v>
      </c>
      <c r="P68" s="122">
        <f t="shared" ref="P68:R68" si="10">INDEX(E92:E99, MATCH($N$68, $H$92:$H$99, 1))</f>
        <v>6.8999999999999999E-3</v>
      </c>
      <c r="Q68" s="122">
        <f t="shared" si="10"/>
        <v>1.15E-2</v>
      </c>
      <c r="R68" s="129">
        <f t="shared" si="10"/>
        <v>5.33E-2</v>
      </c>
    </row>
    <row r="69" spans="2:18">
      <c r="B69" s="29">
        <v>1</v>
      </c>
      <c r="C69" s="11" t="s">
        <v>261</v>
      </c>
      <c r="D69" s="111">
        <v>-1.9400000000000001E-2</v>
      </c>
      <c r="E69" s="111">
        <v>7.7000000000000002E-3</v>
      </c>
      <c r="F69" s="111">
        <v>-1.0200000000000001E-2</v>
      </c>
      <c r="G69" s="123">
        <v>-2.1899999999999999E-2</v>
      </c>
      <c r="H69" s="151">
        <v>0</v>
      </c>
      <c r="I69" s="130">
        <v>5</v>
      </c>
      <c r="J69" s="117">
        <f t="shared" ref="J69:K69" si="11">D42</f>
        <v>6.9</v>
      </c>
      <c r="K69" s="117">
        <f t="shared" si="11"/>
        <v>37.57</v>
      </c>
      <c r="L69" s="117">
        <f t="shared" si="3"/>
        <v>7.43</v>
      </c>
      <c r="M69" s="117">
        <f t="shared" si="4"/>
        <v>51.9</v>
      </c>
      <c r="N69" s="117">
        <f t="shared" si="5"/>
        <v>0.11999999999999744</v>
      </c>
      <c r="O69" s="118">
        <f>INDEX(D101:D108, MATCH($N$69, $H$101:$H$108, 1))</f>
        <v>-2.6700000000000002E-2</v>
      </c>
      <c r="P69" s="118">
        <f t="shared" ref="P69:R69" si="12">INDEX(E101:E108, MATCH($N$69, $H$101:$H$108, 1))</f>
        <v>-1.2999999999999999E-2</v>
      </c>
      <c r="Q69" s="118">
        <f t="shared" si="12"/>
        <v>1.77E-2</v>
      </c>
      <c r="R69" s="131">
        <f t="shared" si="12"/>
        <v>-2.1999999999999999E-2</v>
      </c>
    </row>
    <row r="70" spans="2:18" ht="14.25" thickBot="1">
      <c r="B70" s="29">
        <v>1</v>
      </c>
      <c r="C70" s="11" t="s">
        <v>262</v>
      </c>
      <c r="D70" s="111">
        <v>-0.11600000000000001</v>
      </c>
      <c r="E70" s="111">
        <v>1.29E-2</v>
      </c>
      <c r="F70" s="111">
        <v>6.6900000000000001E-2</v>
      </c>
      <c r="G70" s="123">
        <v>-3.6200000000000003E-2</v>
      </c>
      <c r="H70" s="151">
        <v>0.2</v>
      </c>
      <c r="I70" s="134">
        <v>6</v>
      </c>
      <c r="J70" s="135">
        <f t="shared" ref="J70:K70" si="13">D43</f>
        <v>6.86</v>
      </c>
      <c r="K70" s="135">
        <f t="shared" si="13"/>
        <v>38.03</v>
      </c>
      <c r="L70" s="135">
        <f t="shared" si="3"/>
        <v>7.43</v>
      </c>
      <c r="M70" s="135">
        <f t="shared" si="4"/>
        <v>52.32</v>
      </c>
      <c r="N70" s="135">
        <f t="shared" si="5"/>
        <v>0.53999999999999915</v>
      </c>
      <c r="O70" s="136">
        <f>INDEX(D110:D117, MATCH($N$70, $H$110:$H$117, 1))</f>
        <v>-1.7299999999999999E-2</v>
      </c>
      <c r="P70" s="136">
        <f t="shared" ref="P70:R70" si="14">INDEX(E110:E117, MATCH($N$70, $H$110:$H$117, 1))</f>
        <v>8.0000000000000004E-4</v>
      </c>
      <c r="Q70" s="136">
        <f t="shared" si="14"/>
        <v>-0.1802</v>
      </c>
      <c r="R70" s="137">
        <f t="shared" si="14"/>
        <v>-0.19670000000000001</v>
      </c>
    </row>
    <row r="71" spans="2:18" ht="14.25" thickBot="1">
      <c r="B71" s="29">
        <v>1</v>
      </c>
      <c r="C71" s="11" t="s">
        <v>263</v>
      </c>
      <c r="D71" s="111">
        <v>-0.17130000000000001</v>
      </c>
      <c r="E71" s="111">
        <v>0.11840000000000001</v>
      </c>
      <c r="F71" s="111">
        <v>-1.9900000000000001E-2</v>
      </c>
      <c r="G71" s="123">
        <v>-7.2800000000000004E-2</v>
      </c>
      <c r="H71" s="151">
        <v>0.4</v>
      </c>
      <c r="L71" s="145" t="s">
        <v>281</v>
      </c>
      <c r="M71" s="146">
        <f>AVERAGE(M65:M70)</f>
        <v>51.78</v>
      </c>
    </row>
    <row r="72" spans="2:18">
      <c r="B72" s="29">
        <v>1</v>
      </c>
      <c r="C72" s="11" t="s">
        <v>264</v>
      </c>
      <c r="D72" s="111">
        <v>8.5300000000000001E-2</v>
      </c>
      <c r="E72" s="111">
        <v>-0.1265</v>
      </c>
      <c r="F72" s="111">
        <v>9.74E-2</v>
      </c>
      <c r="G72" s="123">
        <v>5.62E-2</v>
      </c>
      <c r="H72" s="150">
        <v>0.6</v>
      </c>
    </row>
    <row r="73" spans="2:18">
      <c r="B73" s="141"/>
      <c r="C73" s="142"/>
      <c r="D73" s="143"/>
      <c r="E73" s="143"/>
      <c r="F73" s="143"/>
      <c r="G73" s="144"/>
      <c r="H73" s="150"/>
    </row>
    <row r="74" spans="2:18" ht="14.25" thickBot="1">
      <c r="B74" s="124">
        <v>2</v>
      </c>
      <c r="C74" s="113" t="s">
        <v>257</v>
      </c>
      <c r="D74" s="114">
        <v>0.14810000000000001</v>
      </c>
      <c r="E74" s="114">
        <v>7.9000000000000008E-3</v>
      </c>
      <c r="F74" s="114">
        <v>-7.0900000000000005E-2</v>
      </c>
      <c r="G74" s="125">
        <v>8.5099999999999995E-2</v>
      </c>
      <c r="H74" s="151">
        <v>-1</v>
      </c>
      <c r="I74" s="1" t="s">
        <v>291</v>
      </c>
    </row>
    <row r="75" spans="2:18">
      <c r="B75" s="124">
        <v>2</v>
      </c>
      <c r="C75" s="113" t="s">
        <v>258</v>
      </c>
      <c r="D75" s="114">
        <v>7.1499999999999994E-2</v>
      </c>
      <c r="E75" s="114">
        <v>2.5999999999999999E-2</v>
      </c>
      <c r="F75" s="114">
        <v>-6.4799999999999996E-2</v>
      </c>
      <c r="G75" s="125">
        <v>3.2599999999999997E-2</v>
      </c>
      <c r="H75" s="151">
        <v>-0.6</v>
      </c>
      <c r="I75" s="147" t="s">
        <v>251</v>
      </c>
      <c r="J75" s="148" t="s">
        <v>300</v>
      </c>
      <c r="K75" s="148" t="s">
        <v>301</v>
      </c>
      <c r="L75" s="148" t="s">
        <v>302</v>
      </c>
      <c r="M75" s="149" t="s">
        <v>303</v>
      </c>
    </row>
    <row r="76" spans="2:18">
      <c r="B76" s="124">
        <v>2</v>
      </c>
      <c r="C76" s="113" t="s">
        <v>259</v>
      </c>
      <c r="D76" s="114">
        <v>4.1000000000000002E-2</v>
      </c>
      <c r="E76" s="114">
        <v>1.6899999999999998E-2</v>
      </c>
      <c r="F76" s="114">
        <v>6.9999999999999999E-4</v>
      </c>
      <c r="G76" s="125">
        <v>5.8599999999999999E-2</v>
      </c>
      <c r="H76" s="151">
        <v>-0.4</v>
      </c>
      <c r="I76" s="29">
        <v>1</v>
      </c>
      <c r="J76" s="111">
        <v>-0.24016134869862901</v>
      </c>
      <c r="K76" s="111">
        <v>-3.7374980457523001E-2</v>
      </c>
      <c r="L76" s="111">
        <v>0.10124489199622699</v>
      </c>
      <c r="M76" s="123">
        <v>-0.17629143715992401</v>
      </c>
    </row>
    <row r="77" spans="2:18">
      <c r="B77" s="124">
        <v>2</v>
      </c>
      <c r="C77" s="113" t="s">
        <v>260</v>
      </c>
      <c r="D77" s="114">
        <v>-8.8000000000000005E-3</v>
      </c>
      <c r="E77" s="114">
        <v>2.4199999999999999E-2</v>
      </c>
      <c r="F77" s="114">
        <v>-8.9999999999999998E-4</v>
      </c>
      <c r="G77" s="125">
        <v>1.4500000000000001E-2</v>
      </c>
      <c r="H77" s="151">
        <v>-0.2</v>
      </c>
      <c r="I77" s="124">
        <v>2</v>
      </c>
      <c r="J77" s="114">
        <v>-0.14352381360130601</v>
      </c>
      <c r="K77" s="170">
        <v>-0.19368797040767299</v>
      </c>
      <c r="L77" s="114">
        <v>-8.0377121250701303E-2</v>
      </c>
      <c r="M77" s="125">
        <v>-0.41758890525968101</v>
      </c>
    </row>
    <row r="78" spans="2:18">
      <c r="B78" s="124">
        <v>2</v>
      </c>
      <c r="C78" s="113" t="s">
        <v>261</v>
      </c>
      <c r="D78" s="114">
        <v>-2.3699999999999999E-2</v>
      </c>
      <c r="E78" s="114">
        <v>-8.3000000000000001E-3</v>
      </c>
      <c r="F78" s="114">
        <v>2.7199999999999998E-2</v>
      </c>
      <c r="G78" s="125">
        <v>-4.7999999999999996E-3</v>
      </c>
      <c r="H78" s="151">
        <v>0</v>
      </c>
      <c r="I78" s="126">
        <v>3</v>
      </c>
      <c r="J78" s="116">
        <v>3.3979605862710802E-2</v>
      </c>
      <c r="K78" s="171">
        <v>1.1488884045966999E-3</v>
      </c>
      <c r="L78" s="116">
        <v>-9.4909320224395299E-2</v>
      </c>
      <c r="M78" s="127">
        <v>-5.9780825957087801E-2</v>
      </c>
    </row>
    <row r="79" spans="2:18">
      <c r="B79" s="124">
        <v>2</v>
      </c>
      <c r="C79" s="113" t="s">
        <v>262</v>
      </c>
      <c r="D79" s="114">
        <v>-4.0300000000000002E-2</v>
      </c>
      <c r="E79" s="114">
        <v>-3.4599999999999999E-2</v>
      </c>
      <c r="F79" s="114">
        <v>1.4999999999999999E-2</v>
      </c>
      <c r="G79" s="125">
        <v>-5.9799999999999999E-2</v>
      </c>
      <c r="H79" s="151">
        <v>0.2</v>
      </c>
      <c r="I79" s="172">
        <v>4</v>
      </c>
      <c r="J79" s="173">
        <v>0.212492205811012</v>
      </c>
      <c r="K79" s="174">
        <v>4.4384626849480101E-2</v>
      </c>
      <c r="L79" s="173">
        <v>3.0160708102404801E-2</v>
      </c>
      <c r="M79" s="175">
        <v>0.287037540762897</v>
      </c>
    </row>
    <row r="80" spans="2:18">
      <c r="B80" s="124">
        <v>2</v>
      </c>
      <c r="C80" s="113" t="s">
        <v>263</v>
      </c>
      <c r="D80" s="114">
        <v>-8.1299999999999997E-2</v>
      </c>
      <c r="E80" s="114">
        <v>-4.9799999999999997E-2</v>
      </c>
      <c r="F80" s="114">
        <v>3.5999999999999999E-3</v>
      </c>
      <c r="G80" s="125">
        <v>-0.12740000000000001</v>
      </c>
      <c r="H80" s="151">
        <v>0.4</v>
      </c>
      <c r="I80" s="130">
        <v>5</v>
      </c>
      <c r="J80" s="118">
        <v>8.0411672671853798E-2</v>
      </c>
      <c r="K80" s="176">
        <v>0.143212206995632</v>
      </c>
      <c r="L80" s="118">
        <v>-4.99646813656138E-2</v>
      </c>
      <c r="M80" s="131">
        <v>0.17365919830187199</v>
      </c>
    </row>
    <row r="81" spans="2:13" ht="14.25" thickBot="1">
      <c r="B81" s="124">
        <v>2</v>
      </c>
      <c r="C81" s="113" t="s">
        <v>264</v>
      </c>
      <c r="D81" s="114">
        <v>-8.2500000000000004E-2</v>
      </c>
      <c r="E81" s="114">
        <v>-4.0099999999999997E-2</v>
      </c>
      <c r="F81" s="114">
        <v>7.6399999999999996E-2</v>
      </c>
      <c r="G81" s="125">
        <v>-4.6199999999999998E-2</v>
      </c>
      <c r="H81" s="150">
        <v>0.6</v>
      </c>
      <c r="I81" s="134">
        <v>6</v>
      </c>
      <c r="J81" s="136">
        <v>5.6783329218280498E-2</v>
      </c>
      <c r="K81" s="177">
        <v>4.2249949916534697E-2</v>
      </c>
      <c r="L81" s="136">
        <v>9.3527477983394405E-2</v>
      </c>
      <c r="M81" s="137">
        <v>0.192560757118209</v>
      </c>
    </row>
    <row r="82" spans="2:13">
      <c r="B82" s="141"/>
      <c r="C82" s="142"/>
      <c r="D82" s="143"/>
      <c r="E82" s="143"/>
      <c r="F82" s="143"/>
      <c r="G82" s="144"/>
      <c r="H82" s="150"/>
      <c r="I82" s="1" t="s">
        <v>332</v>
      </c>
      <c r="J82" s="1">
        <v>5</v>
      </c>
      <c r="K82" s="2"/>
    </row>
    <row r="83" spans="2:13">
      <c r="B83" s="126">
        <v>3</v>
      </c>
      <c r="C83" s="115" t="s">
        <v>257</v>
      </c>
      <c r="D83" s="116">
        <v>9.9599999999999994E-2</v>
      </c>
      <c r="E83" s="116">
        <v>1.8100000000000002E-2</v>
      </c>
      <c r="F83" s="116">
        <v>-2.4299999999999999E-2</v>
      </c>
      <c r="G83" s="127">
        <v>9.3399999999999997E-2</v>
      </c>
      <c r="H83" s="151">
        <v>-1</v>
      </c>
      <c r="I83" s="1" t="s">
        <v>333</v>
      </c>
      <c r="J83" s="1" t="s">
        <v>321</v>
      </c>
      <c r="K83" s="2"/>
    </row>
    <row r="84" spans="2:13">
      <c r="B84" s="126">
        <v>3</v>
      </c>
      <c r="C84" s="115" t="s">
        <v>258</v>
      </c>
      <c r="D84" s="116">
        <v>5.8200000000000002E-2</v>
      </c>
      <c r="E84" s="116">
        <v>4.5999999999999999E-2</v>
      </c>
      <c r="F84" s="116">
        <v>-5.57E-2</v>
      </c>
      <c r="G84" s="127">
        <v>4.8500000000000001E-2</v>
      </c>
      <c r="H84" s="151">
        <v>-0.6</v>
      </c>
      <c r="I84" s="1" t="s">
        <v>334</v>
      </c>
      <c r="J84" s="1" t="s">
        <v>322</v>
      </c>
    </row>
    <row r="85" spans="2:13">
      <c r="B85" s="126">
        <v>3</v>
      </c>
      <c r="C85" s="115" t="s">
        <v>259</v>
      </c>
      <c r="D85" s="116">
        <v>3.8399999999999997E-2</v>
      </c>
      <c r="E85" s="116">
        <v>-8.6999999999999994E-3</v>
      </c>
      <c r="F85" s="116">
        <v>6.7999999999999996E-3</v>
      </c>
      <c r="G85" s="127">
        <v>3.6499999999999998E-2</v>
      </c>
      <c r="H85" s="151">
        <v>-0.4</v>
      </c>
    </row>
    <row r="86" spans="2:13">
      <c r="B86" s="126">
        <v>3</v>
      </c>
      <c r="C86" s="115" t="s">
        <v>260</v>
      </c>
      <c r="D86" s="116">
        <v>1.1000000000000001E-3</v>
      </c>
      <c r="E86" s="116">
        <v>1.66E-2</v>
      </c>
      <c r="F86" s="116">
        <v>1.78E-2</v>
      </c>
      <c r="G86" s="127">
        <v>3.5499999999999997E-2</v>
      </c>
      <c r="H86" s="151">
        <v>-0.2</v>
      </c>
    </row>
    <row r="87" spans="2:13">
      <c r="B87" s="126">
        <v>3</v>
      </c>
      <c r="C87" s="115" t="s">
        <v>261</v>
      </c>
      <c r="D87" s="116">
        <v>-2.41E-2</v>
      </c>
      <c r="E87" s="116">
        <v>1.55E-2</v>
      </c>
      <c r="F87" s="116">
        <v>-2.2000000000000001E-3</v>
      </c>
      <c r="G87" s="127">
        <v>-1.0800000000000001E-2</v>
      </c>
      <c r="H87" s="151">
        <v>0</v>
      </c>
    </row>
    <row r="88" spans="2:13">
      <c r="B88" s="126">
        <v>3</v>
      </c>
      <c r="C88" s="115" t="s">
        <v>262</v>
      </c>
      <c r="D88" s="116">
        <v>-2.06E-2</v>
      </c>
      <c r="E88" s="116">
        <v>-5.0200000000000002E-2</v>
      </c>
      <c r="F88" s="116">
        <v>8.6999999999999994E-3</v>
      </c>
      <c r="G88" s="127">
        <v>-6.2100000000000002E-2</v>
      </c>
      <c r="H88" s="151">
        <v>0.2</v>
      </c>
    </row>
    <row r="89" spans="2:13">
      <c r="B89" s="126">
        <v>3</v>
      </c>
      <c r="C89" s="115" t="s">
        <v>263</v>
      </c>
      <c r="D89" s="116">
        <v>-3.2899999999999999E-2</v>
      </c>
      <c r="E89" s="116">
        <v>-2.06E-2</v>
      </c>
      <c r="F89" s="116">
        <v>-4.1000000000000003E-3</v>
      </c>
      <c r="G89" s="127">
        <v>-5.7599999999999998E-2</v>
      </c>
      <c r="H89" s="151">
        <v>0.4</v>
      </c>
    </row>
    <row r="90" spans="2:13">
      <c r="B90" s="126">
        <v>3</v>
      </c>
      <c r="C90" s="115" t="s">
        <v>264</v>
      </c>
      <c r="D90" s="116">
        <v>-5.3199999999999997E-2</v>
      </c>
      <c r="E90" s="116">
        <v>2.3999999999999998E-3</v>
      </c>
      <c r="F90" s="116">
        <v>-2.98E-2</v>
      </c>
      <c r="G90" s="127">
        <v>-8.0600000000000005E-2</v>
      </c>
      <c r="H90" s="150">
        <v>0.6</v>
      </c>
    </row>
    <row r="91" spans="2:13">
      <c r="B91" s="141"/>
      <c r="C91" s="142"/>
      <c r="D91" s="143"/>
      <c r="E91" s="143"/>
      <c r="F91" s="143"/>
      <c r="G91" s="144"/>
      <c r="H91" s="150"/>
    </row>
    <row r="92" spans="2:13">
      <c r="B92" s="128">
        <v>4</v>
      </c>
      <c r="C92" s="121" t="s">
        <v>257</v>
      </c>
      <c r="D92" s="122">
        <v>0.14849999999999999</v>
      </c>
      <c r="E92" s="122">
        <v>0.11070000000000001</v>
      </c>
      <c r="F92" s="122">
        <v>-9.5000000000000001E-2</v>
      </c>
      <c r="G92" s="129">
        <v>0.16420000000000001</v>
      </c>
      <c r="H92" s="151">
        <v>-1</v>
      </c>
    </row>
    <row r="93" spans="2:13">
      <c r="B93" s="128">
        <v>4</v>
      </c>
      <c r="C93" s="121" t="s">
        <v>258</v>
      </c>
      <c r="D93" s="122">
        <v>6.3600000000000004E-2</v>
      </c>
      <c r="E93" s="122">
        <v>2.3099999999999999E-2</v>
      </c>
      <c r="F93" s="122">
        <v>-4.7E-2</v>
      </c>
      <c r="G93" s="129">
        <v>3.9699999999999999E-2</v>
      </c>
      <c r="H93" s="151">
        <v>-0.6</v>
      </c>
    </row>
    <row r="94" spans="2:13">
      <c r="B94" s="128">
        <v>4</v>
      </c>
      <c r="C94" s="121" t="s">
        <v>259</v>
      </c>
      <c r="D94" s="122">
        <v>3.85E-2</v>
      </c>
      <c r="E94" s="122">
        <v>-1.8499999999999999E-2</v>
      </c>
      <c r="F94" s="122">
        <v>5.3100000000000001E-2</v>
      </c>
      <c r="G94" s="129">
        <v>7.3099999999999998E-2</v>
      </c>
      <c r="H94" s="151">
        <v>-0.4</v>
      </c>
    </row>
    <row r="95" spans="2:13">
      <c r="B95" s="128">
        <v>4</v>
      </c>
      <c r="C95" s="121" t="s">
        <v>260</v>
      </c>
      <c r="D95" s="122">
        <v>3.49E-2</v>
      </c>
      <c r="E95" s="122">
        <v>6.8999999999999999E-3</v>
      </c>
      <c r="F95" s="122">
        <v>1.15E-2</v>
      </c>
      <c r="G95" s="129">
        <v>5.33E-2</v>
      </c>
      <c r="H95" s="151">
        <v>-0.2</v>
      </c>
    </row>
    <row r="96" spans="2:13">
      <c r="B96" s="128">
        <v>4</v>
      </c>
      <c r="C96" s="121" t="s">
        <v>261</v>
      </c>
      <c r="D96" s="122">
        <v>-5.8599999999999999E-2</v>
      </c>
      <c r="E96" s="122">
        <v>1.1000000000000001E-3</v>
      </c>
      <c r="F96" s="122">
        <v>2.1000000000000001E-2</v>
      </c>
      <c r="G96" s="129">
        <v>-3.6499999999999998E-2</v>
      </c>
      <c r="H96" s="151">
        <v>0</v>
      </c>
    </row>
    <row r="97" spans="2:8">
      <c r="B97" s="128">
        <v>4</v>
      </c>
      <c r="C97" s="121" t="s">
        <v>262</v>
      </c>
      <c r="D97" s="122">
        <v>-4.5499999999999999E-2</v>
      </c>
      <c r="E97" s="122">
        <v>-1.6899999999999998E-2</v>
      </c>
      <c r="F97" s="122">
        <v>-2.1899999999999999E-2</v>
      </c>
      <c r="G97" s="129">
        <v>-8.4199999999999997E-2</v>
      </c>
      <c r="H97" s="151">
        <v>0.2</v>
      </c>
    </row>
    <row r="98" spans="2:8">
      <c r="B98" s="128">
        <v>4</v>
      </c>
      <c r="C98" s="121" t="s">
        <v>263</v>
      </c>
      <c r="D98" s="122">
        <v>-3.6200000000000003E-2</v>
      </c>
      <c r="E98" s="122">
        <v>-4.5199999999999997E-2</v>
      </c>
      <c r="F98" s="122">
        <v>8.8000000000000005E-3</v>
      </c>
      <c r="G98" s="129">
        <v>-7.2599999999999998E-2</v>
      </c>
      <c r="H98" s="151">
        <v>0.4</v>
      </c>
    </row>
    <row r="99" spans="2:8">
      <c r="B99" s="128">
        <v>4</v>
      </c>
      <c r="C99" s="121" t="s">
        <v>264</v>
      </c>
      <c r="D99" s="122">
        <v>-2.0299999999999999E-2</v>
      </c>
      <c r="E99" s="122">
        <v>5.33E-2</v>
      </c>
      <c r="F99" s="122">
        <v>-0.12130000000000001</v>
      </c>
      <c r="G99" s="129">
        <v>-8.8200000000000001E-2</v>
      </c>
      <c r="H99" s="150">
        <v>0.6</v>
      </c>
    </row>
    <row r="100" spans="2:8">
      <c r="B100" s="141"/>
      <c r="C100" s="142"/>
      <c r="D100" s="143"/>
      <c r="E100" s="143"/>
      <c r="F100" s="143"/>
      <c r="G100" s="144"/>
      <c r="H100" s="150"/>
    </row>
    <row r="101" spans="2:8">
      <c r="B101" s="130">
        <v>5</v>
      </c>
      <c r="C101" s="117" t="s">
        <v>257</v>
      </c>
      <c r="D101" s="118">
        <v>0.13789999999999999</v>
      </c>
      <c r="E101" s="118">
        <v>1.5299999999999999E-2</v>
      </c>
      <c r="F101" s="118">
        <v>-4.6699999999999998E-2</v>
      </c>
      <c r="G101" s="131">
        <v>0.1065</v>
      </c>
      <c r="H101" s="151">
        <v>-1</v>
      </c>
    </row>
    <row r="102" spans="2:8">
      <c r="B102" s="130">
        <v>5</v>
      </c>
      <c r="C102" s="117" t="s">
        <v>258</v>
      </c>
      <c r="D102" s="118">
        <v>1.7000000000000001E-2</v>
      </c>
      <c r="E102" s="118">
        <v>2.6599999999999999E-2</v>
      </c>
      <c r="F102" s="118">
        <v>4.4200000000000003E-2</v>
      </c>
      <c r="G102" s="131">
        <v>8.7900000000000006E-2</v>
      </c>
      <c r="H102" s="151">
        <v>-0.6</v>
      </c>
    </row>
    <row r="103" spans="2:8">
      <c r="B103" s="130">
        <v>5</v>
      </c>
      <c r="C103" s="117" t="s">
        <v>259</v>
      </c>
      <c r="D103" s="118">
        <v>2.8799999999999999E-2</v>
      </c>
      <c r="E103" s="118">
        <v>-6.2899999999999998E-2</v>
      </c>
      <c r="F103" s="118">
        <v>4.7100000000000003E-2</v>
      </c>
      <c r="G103" s="131">
        <v>1.2999999999999999E-2</v>
      </c>
      <c r="H103" s="151">
        <v>-0.4</v>
      </c>
    </row>
    <row r="104" spans="2:8">
      <c r="B104" s="130">
        <v>5</v>
      </c>
      <c r="C104" s="117" t="s">
        <v>260</v>
      </c>
      <c r="D104" s="118">
        <v>-3.8999999999999998E-3</v>
      </c>
      <c r="E104" s="118">
        <v>4.7800000000000002E-2</v>
      </c>
      <c r="F104" s="118">
        <v>-2.3099999999999999E-2</v>
      </c>
      <c r="G104" s="131">
        <v>2.0799999999999999E-2</v>
      </c>
      <c r="H104" s="151">
        <v>-0.2</v>
      </c>
    </row>
    <row r="105" spans="2:8">
      <c r="B105" s="130">
        <v>5</v>
      </c>
      <c r="C105" s="117" t="s">
        <v>261</v>
      </c>
      <c r="D105" s="118">
        <v>-2.6700000000000002E-2</v>
      </c>
      <c r="E105" s="118">
        <v>-1.2999999999999999E-2</v>
      </c>
      <c r="F105" s="118">
        <v>1.77E-2</v>
      </c>
      <c r="G105" s="131">
        <v>-2.1999999999999999E-2</v>
      </c>
      <c r="H105" s="151">
        <v>0</v>
      </c>
    </row>
    <row r="106" spans="2:8">
      <c r="B106" s="130">
        <v>5</v>
      </c>
      <c r="C106" s="117" t="s">
        <v>262</v>
      </c>
      <c r="D106" s="118">
        <v>-2.46E-2</v>
      </c>
      <c r="E106" s="118">
        <v>1.43E-2</v>
      </c>
      <c r="F106" s="118">
        <v>-9.4999999999999998E-3</v>
      </c>
      <c r="G106" s="131">
        <v>-1.9900000000000001E-2</v>
      </c>
      <c r="H106" s="151">
        <v>0.2</v>
      </c>
    </row>
    <row r="107" spans="2:8">
      <c r="B107" s="130">
        <v>5</v>
      </c>
      <c r="C107" s="117" t="s">
        <v>263</v>
      </c>
      <c r="D107" s="118">
        <v>4.1099999999999998E-2</v>
      </c>
      <c r="E107" s="118">
        <v>-7.1999999999999998E-3</v>
      </c>
      <c r="F107" s="118">
        <v>-1.15E-2</v>
      </c>
      <c r="G107" s="131">
        <v>2.2499999999999999E-2</v>
      </c>
      <c r="H107" s="151">
        <v>0.4</v>
      </c>
    </row>
    <row r="108" spans="2:8">
      <c r="B108" s="130">
        <v>5</v>
      </c>
      <c r="C108" s="117" t="s">
        <v>264</v>
      </c>
      <c r="D108" s="118">
        <v>-1.84E-2</v>
      </c>
      <c r="E108" s="118">
        <v>-5.6899999999999999E-2</v>
      </c>
      <c r="F108" s="118">
        <v>-7.1400000000000005E-2</v>
      </c>
      <c r="G108" s="131">
        <v>-0.14680000000000001</v>
      </c>
      <c r="H108" s="150">
        <v>0.6</v>
      </c>
    </row>
    <row r="109" spans="2:8">
      <c r="B109" s="141"/>
      <c r="C109" s="142"/>
      <c r="D109" s="143"/>
      <c r="E109" s="143"/>
      <c r="F109" s="143"/>
      <c r="G109" s="144"/>
      <c r="H109" s="150"/>
    </row>
    <row r="110" spans="2:8">
      <c r="B110" s="132">
        <v>6</v>
      </c>
      <c r="C110" s="119" t="s">
        <v>257</v>
      </c>
      <c r="D110" s="120">
        <v>4.99E-2</v>
      </c>
      <c r="E110" s="120">
        <v>-0.03</v>
      </c>
      <c r="F110" s="120">
        <v>0.19370000000000001</v>
      </c>
      <c r="G110" s="133">
        <v>0.21360000000000001</v>
      </c>
      <c r="H110" s="151">
        <v>-1</v>
      </c>
    </row>
    <row r="111" spans="2:8">
      <c r="B111" s="132">
        <v>6</v>
      </c>
      <c r="C111" s="119" t="s">
        <v>258</v>
      </c>
      <c r="D111" s="120">
        <v>5.4999999999999997E-3</v>
      </c>
      <c r="E111" s="120">
        <v>8.6999999999999994E-3</v>
      </c>
      <c r="F111" s="120">
        <v>0.1027</v>
      </c>
      <c r="G111" s="133">
        <v>0.1169</v>
      </c>
      <c r="H111" s="151">
        <v>-0.6</v>
      </c>
    </row>
    <row r="112" spans="2:8">
      <c r="B112" s="132">
        <v>6</v>
      </c>
      <c r="C112" s="119" t="s">
        <v>259</v>
      </c>
      <c r="D112" s="120">
        <v>4.3E-3</v>
      </c>
      <c r="E112" s="120">
        <v>3.7000000000000002E-3</v>
      </c>
      <c r="F112" s="120">
        <v>4.3200000000000002E-2</v>
      </c>
      <c r="G112" s="133">
        <v>5.1299999999999998E-2</v>
      </c>
      <c r="H112" s="151">
        <v>-0.4</v>
      </c>
    </row>
    <row r="113" spans="2:8">
      <c r="B113" s="132">
        <v>6</v>
      </c>
      <c r="C113" s="119" t="s">
        <v>260</v>
      </c>
      <c r="D113" s="120">
        <v>1.26E-2</v>
      </c>
      <c r="E113" s="120">
        <v>5.8599999999999999E-2</v>
      </c>
      <c r="F113" s="120">
        <v>4.6600000000000003E-2</v>
      </c>
      <c r="G113" s="133">
        <v>0.1178</v>
      </c>
      <c r="H113" s="151">
        <v>-0.2</v>
      </c>
    </row>
    <row r="114" spans="2:8">
      <c r="B114" s="132">
        <v>6</v>
      </c>
      <c r="C114" s="119" t="s">
        <v>261</v>
      </c>
      <c r="D114" s="120">
        <v>-1.7999999999999999E-2</v>
      </c>
      <c r="E114" s="120">
        <v>-3.2800000000000003E-2</v>
      </c>
      <c r="F114" s="120">
        <v>-8.8099999999999998E-2</v>
      </c>
      <c r="G114" s="133">
        <v>-0.1389</v>
      </c>
      <c r="H114" s="151">
        <v>0</v>
      </c>
    </row>
    <row r="115" spans="2:8">
      <c r="B115" s="132">
        <v>6</v>
      </c>
      <c r="C115" s="119" t="s">
        <v>262</v>
      </c>
      <c r="D115" s="120">
        <v>-3.2000000000000002E-3</v>
      </c>
      <c r="E115" s="120">
        <v>-1.9199999999999998E-2</v>
      </c>
      <c r="F115" s="120">
        <v>-1.12E-2</v>
      </c>
      <c r="G115" s="133">
        <v>-3.3599999999999998E-2</v>
      </c>
      <c r="H115" s="151">
        <v>0.2</v>
      </c>
    </row>
    <row r="116" spans="2:8">
      <c r="B116" s="132">
        <v>6</v>
      </c>
      <c r="C116" s="119" t="s">
        <v>263</v>
      </c>
      <c r="D116" s="120">
        <v>-1.7299999999999999E-2</v>
      </c>
      <c r="E116" s="120">
        <v>8.0000000000000004E-4</v>
      </c>
      <c r="F116" s="120">
        <v>-0.1802</v>
      </c>
      <c r="G116" s="133">
        <v>-0.19670000000000001</v>
      </c>
      <c r="H116" s="151">
        <v>0.4</v>
      </c>
    </row>
    <row r="117" spans="2:8" ht="14.25" thickBot="1">
      <c r="B117" s="134">
        <v>6</v>
      </c>
      <c r="C117" s="135" t="s">
        <v>264</v>
      </c>
      <c r="D117" s="136">
        <v>8.8000000000000005E-3</v>
      </c>
      <c r="E117" s="136">
        <v>-1.8100000000000002E-2</v>
      </c>
      <c r="F117" s="136">
        <v>3.32E-2</v>
      </c>
      <c r="G117" s="137">
        <v>2.3900000000000001E-2</v>
      </c>
      <c r="H117" s="150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workbookViewId="0">
      <selection activeCell="C5" sqref="C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46152</v>
      </c>
      <c r="D3" s="10" t="str">
        <f>E3&amp;E4&amp;E5</f>
        <v>20260510OMR06</v>
      </c>
      <c r="E3" s="9" t="str">
        <f>TEXT(C3,"yyyymmdd")</f>
        <v>20260510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2" t="s">
        <v>66</v>
      </c>
      <c r="C8" s="19" t="str">
        <f>$D$3</f>
        <v>20260510OMR06</v>
      </c>
      <c r="D8" s="15" t="str">
        <f t="shared" ref="D8:H8" si="0">$D$3</f>
        <v>20260510OMR06</v>
      </c>
      <c r="E8" s="15" t="str">
        <f t="shared" si="0"/>
        <v>20260510OMR06</v>
      </c>
      <c r="F8" s="15" t="str">
        <f t="shared" si="0"/>
        <v>20260510OMR06</v>
      </c>
      <c r="G8" s="15" t="str">
        <f t="shared" si="0"/>
        <v>20260510OMR06</v>
      </c>
      <c r="H8" s="16" t="str">
        <f t="shared" si="0"/>
        <v>20260510OMR06</v>
      </c>
    </row>
    <row r="9" spans="1:8">
      <c r="B9" s="23" t="s">
        <v>67</v>
      </c>
      <c r="C9" s="20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23" t="s">
        <v>68</v>
      </c>
      <c r="C10" s="20">
        <f>C22</f>
        <v>4096</v>
      </c>
      <c r="D10" s="17">
        <f t="shared" ref="D10:H10" si="1">D22</f>
        <v>3508</v>
      </c>
      <c r="E10" s="17">
        <f t="shared" si="1"/>
        <v>3777</v>
      </c>
      <c r="F10" s="17">
        <f t="shared" si="1"/>
        <v>3871</v>
      </c>
      <c r="G10" s="17">
        <f t="shared" si="1"/>
        <v>4553</v>
      </c>
      <c r="H10" s="18">
        <f t="shared" si="1"/>
        <v>4764</v>
      </c>
    </row>
    <row r="11" spans="1:8">
      <c r="B11" s="23" t="s">
        <v>69</v>
      </c>
      <c r="C11" s="20">
        <f>C24</f>
        <v>6.81</v>
      </c>
      <c r="D11" s="17">
        <f t="shared" ref="D11:H11" si="2">D24</f>
        <v>6.85</v>
      </c>
      <c r="E11" s="17">
        <f t="shared" si="2"/>
        <v>6.89</v>
      </c>
      <c r="F11" s="17">
        <f t="shared" si="2"/>
        <v>6.95</v>
      </c>
      <c r="G11" s="17">
        <f t="shared" si="2"/>
        <v>6.9</v>
      </c>
      <c r="H11" s="18">
        <f t="shared" si="2"/>
        <v>6.86</v>
      </c>
    </row>
    <row r="12" spans="1:8">
      <c r="B12" s="23" t="s">
        <v>70</v>
      </c>
      <c r="C12" s="20">
        <f>VALUE(SUBSTITUTE(C25, "F", "-0"))</f>
        <v>37.43</v>
      </c>
      <c r="D12" s="17">
        <f t="shared" ref="D12:H12" si="3">VALUE(SUBSTITUTE(D25, "F", "-0"))</f>
        <v>37</v>
      </c>
      <c r="E12" s="17">
        <f t="shared" si="3"/>
        <v>37.43</v>
      </c>
      <c r="F12" s="17">
        <f t="shared" si="3"/>
        <v>37.5</v>
      </c>
      <c r="G12" s="17">
        <f t="shared" si="3"/>
        <v>37.57</v>
      </c>
      <c r="H12" s="18">
        <f t="shared" si="3"/>
        <v>38.03</v>
      </c>
    </row>
    <row r="13" spans="1:8">
      <c r="B13" s="23" t="s">
        <v>71</v>
      </c>
      <c r="C13" s="20">
        <f t="shared" ref="C13:H14" si="4">C26</f>
        <v>6.33</v>
      </c>
      <c r="D13" s="17">
        <f t="shared" si="4"/>
        <v>6.17</v>
      </c>
      <c r="E13" s="17">
        <f t="shared" si="4"/>
        <v>6.57</v>
      </c>
      <c r="F13" s="17">
        <f t="shared" si="4"/>
        <v>6.77</v>
      </c>
      <c r="G13" s="17">
        <f t="shared" si="4"/>
        <v>6.73</v>
      </c>
      <c r="H13" s="18">
        <f t="shared" si="4"/>
        <v>6.67</v>
      </c>
    </row>
    <row r="14" spans="1:8">
      <c r="B14" s="23" t="s">
        <v>72</v>
      </c>
      <c r="C14" s="20">
        <f t="shared" si="4"/>
        <v>7.4</v>
      </c>
      <c r="D14" s="17">
        <f t="shared" si="4"/>
        <v>7.5</v>
      </c>
      <c r="E14" s="17">
        <f t="shared" si="4"/>
        <v>7.4</v>
      </c>
      <c r="F14" s="17">
        <f t="shared" si="4"/>
        <v>7.3</v>
      </c>
      <c r="G14" s="17">
        <f t="shared" si="4"/>
        <v>7.43</v>
      </c>
      <c r="H14" s="18">
        <f t="shared" si="4"/>
        <v>7.43</v>
      </c>
    </row>
    <row r="15" spans="1:8" ht="14.25" thickBot="1">
      <c r="B15" s="24" t="s">
        <v>73</v>
      </c>
      <c r="C15" s="21">
        <f>IF(LEFT(C28,1)="F", -VALUE(MID(C28,2,10)), VALUE(C28))</f>
        <v>7.0000000000000007E-2</v>
      </c>
      <c r="D15" s="21">
        <f t="shared" ref="D15:H15" si="5">IF(LEFT(D28,1)="F", -VALUE(MID(D28,2,10)), VALUE(D28))</f>
        <v>0.14000000000000001</v>
      </c>
      <c r="E15" s="21">
        <f t="shared" si="5"/>
        <v>0.04</v>
      </c>
      <c r="F15" s="21">
        <f t="shared" si="5"/>
        <v>-0.01</v>
      </c>
      <c r="G15" s="21">
        <f t="shared" si="5"/>
        <v>0.01</v>
      </c>
      <c r="H15" s="21">
        <f t="shared" si="5"/>
        <v>0.03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52">
        <v>4096</v>
      </c>
      <c r="D22" s="153">
        <v>3508</v>
      </c>
      <c r="E22" s="154">
        <v>3777</v>
      </c>
      <c r="F22" s="155">
        <v>3871</v>
      </c>
      <c r="G22" s="156">
        <v>4553</v>
      </c>
      <c r="H22" s="157">
        <v>4764</v>
      </c>
    </row>
    <row r="23" spans="1:8" ht="19.5" thickTop="1" thickBot="1">
      <c r="B23" s="161" t="s">
        <v>76</v>
      </c>
      <c r="C23" s="162">
        <v>1</v>
      </c>
      <c r="D23" s="162">
        <v>2</v>
      </c>
      <c r="E23" s="162">
        <v>3</v>
      </c>
      <c r="F23" s="162">
        <v>4</v>
      </c>
      <c r="G23" s="162">
        <v>5</v>
      </c>
      <c r="H23" s="163">
        <v>6</v>
      </c>
    </row>
    <row r="24" spans="1:8" ht="18.75" thickBot="1">
      <c r="B24" s="164" t="s">
        <v>77</v>
      </c>
      <c r="C24" s="160">
        <v>6.81</v>
      </c>
      <c r="D24" s="159">
        <v>6.85</v>
      </c>
      <c r="E24" s="158">
        <v>6.89</v>
      </c>
      <c r="F24" s="158">
        <v>6.95</v>
      </c>
      <c r="G24" s="158">
        <v>6.9</v>
      </c>
      <c r="H24" s="165">
        <v>6.86</v>
      </c>
    </row>
    <row r="25" spans="1:8" ht="18.75" thickBot="1">
      <c r="B25" s="164" t="s">
        <v>79</v>
      </c>
      <c r="C25" s="159">
        <v>37.43</v>
      </c>
      <c r="D25" s="160">
        <v>37</v>
      </c>
      <c r="E25" s="159">
        <v>37.43</v>
      </c>
      <c r="F25" s="158">
        <v>37.5</v>
      </c>
      <c r="G25" s="158">
        <v>37.57</v>
      </c>
      <c r="H25" s="165">
        <v>38.03</v>
      </c>
    </row>
    <row r="26" spans="1:8" ht="18.75" thickBot="1">
      <c r="B26" s="164" t="s">
        <v>80</v>
      </c>
      <c r="C26" s="159">
        <v>6.33</v>
      </c>
      <c r="D26" s="160">
        <v>6.17</v>
      </c>
      <c r="E26" s="158">
        <v>6.57</v>
      </c>
      <c r="F26" s="158">
        <v>6.77</v>
      </c>
      <c r="G26" s="158">
        <v>6.73</v>
      </c>
      <c r="H26" s="165">
        <v>6.67</v>
      </c>
    </row>
    <row r="27" spans="1:8" ht="18.75" thickBot="1">
      <c r="B27" s="164" t="s">
        <v>81</v>
      </c>
      <c r="C27" s="159">
        <v>7.4</v>
      </c>
      <c r="D27" s="158">
        <v>7.5</v>
      </c>
      <c r="E27" s="159">
        <v>7.4</v>
      </c>
      <c r="F27" s="160">
        <v>7.3</v>
      </c>
      <c r="G27" s="158">
        <v>7.43</v>
      </c>
      <c r="H27" s="165">
        <v>7.43</v>
      </c>
    </row>
    <row r="28" spans="1:8" ht="18.75" thickBot="1">
      <c r="B28" s="166" t="s">
        <v>78</v>
      </c>
      <c r="C28" s="167">
        <v>7.0000000000000007E-2</v>
      </c>
      <c r="D28" s="167">
        <v>0.14000000000000001</v>
      </c>
      <c r="E28" s="167">
        <v>0.04</v>
      </c>
      <c r="F28" s="167" t="s">
        <v>290</v>
      </c>
      <c r="G28" s="168">
        <v>0.01</v>
      </c>
      <c r="H28" s="169">
        <v>0.03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topLeftCell="K1" workbookViewId="0">
      <selection activeCell="O17" sqref="O17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2" width="9" style="1"/>
    <col min="13" max="13" width="3.5" style="1" bestFit="1" customWidth="1"/>
    <col min="14" max="14" width="13.875" style="1" bestFit="1" customWidth="1"/>
    <col min="15" max="15" width="53.875" style="1" bestFit="1" customWidth="1"/>
    <col min="16" max="16384" width="9" style="1"/>
  </cols>
  <sheetData>
    <row r="1" spans="2:15">
      <c r="B1" s="1" t="s">
        <v>2</v>
      </c>
      <c r="D1" s="1" t="s">
        <v>64</v>
      </c>
      <c r="G1" s="1" t="s">
        <v>265</v>
      </c>
      <c r="M1" s="1" t="s">
        <v>331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269</v>
      </c>
      <c r="J2" s="1" t="s">
        <v>270</v>
      </c>
      <c r="K2" s="1" t="s">
        <v>80</v>
      </c>
      <c r="M2" s="1" t="s">
        <v>304</v>
      </c>
      <c r="N2" s="1" t="s">
        <v>305</v>
      </c>
      <c r="O2" s="1" t="s">
        <v>306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269</v>
      </c>
      <c r="J3" s="1" t="s">
        <v>270</v>
      </c>
      <c r="K3" s="1" t="s">
        <v>80</v>
      </c>
      <c r="M3" s="1">
        <v>1</v>
      </c>
      <c r="N3" s="1" t="s">
        <v>329</v>
      </c>
      <c r="O3" s="1" t="s">
        <v>330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269</v>
      </c>
      <c r="J4" s="1" t="s">
        <v>270</v>
      </c>
      <c r="K4" s="1" t="s">
        <v>80</v>
      </c>
      <c r="M4" s="1">
        <v>2</v>
      </c>
      <c r="N4" s="1" t="s">
        <v>327</v>
      </c>
      <c r="O4" s="1" t="s">
        <v>328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269</v>
      </c>
      <c r="J5" s="1" t="s">
        <v>270</v>
      </c>
      <c r="K5" s="1" t="s">
        <v>80</v>
      </c>
      <c r="M5" s="1">
        <v>3</v>
      </c>
      <c r="N5" s="1" t="s">
        <v>325</v>
      </c>
      <c r="O5" s="1" t="s">
        <v>326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269</v>
      </c>
      <c r="J6" s="1" t="s">
        <v>270</v>
      </c>
      <c r="K6" s="1" t="s">
        <v>81</v>
      </c>
      <c r="M6" s="1">
        <v>4</v>
      </c>
      <c r="N6" s="1" t="s">
        <v>323</v>
      </c>
      <c r="O6" s="1" t="s">
        <v>324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269</v>
      </c>
      <c r="J7" s="1" t="s">
        <v>270</v>
      </c>
      <c r="K7" s="1" t="s">
        <v>81</v>
      </c>
      <c r="L7" s="1" t="s">
        <v>267</v>
      </c>
      <c r="M7" s="1">
        <v>5</v>
      </c>
      <c r="N7" s="1" t="s">
        <v>321</v>
      </c>
      <c r="O7" s="1" t="s">
        <v>322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269</v>
      </c>
      <c r="J8" s="1" t="s">
        <v>270</v>
      </c>
      <c r="K8" s="1" t="s">
        <v>81</v>
      </c>
      <c r="L8" s="1" t="s">
        <v>267</v>
      </c>
      <c r="M8" s="1">
        <v>6</v>
      </c>
      <c r="N8" s="1" t="s">
        <v>319</v>
      </c>
      <c r="O8" s="1" t="s">
        <v>320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269</v>
      </c>
      <c r="J9" s="1" t="s">
        <v>270</v>
      </c>
      <c r="K9" s="1" t="s">
        <v>81</v>
      </c>
      <c r="L9" s="1" t="s">
        <v>267</v>
      </c>
      <c r="M9" s="1">
        <v>7</v>
      </c>
      <c r="N9" s="1" t="s">
        <v>317</v>
      </c>
      <c r="O9" s="1" t="s">
        <v>318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269</v>
      </c>
      <c r="J10" s="1" t="s">
        <v>270</v>
      </c>
      <c r="K10" s="1" t="s">
        <v>80</v>
      </c>
      <c r="L10" s="1" t="s">
        <v>268</v>
      </c>
      <c r="M10" s="1">
        <v>8</v>
      </c>
      <c r="N10" s="1" t="s">
        <v>315</v>
      </c>
      <c r="O10" s="1" t="s">
        <v>316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269</v>
      </c>
      <c r="J11" s="1" t="s">
        <v>270</v>
      </c>
      <c r="K11" s="1" t="s">
        <v>81</v>
      </c>
      <c r="L11" s="1" t="s">
        <v>267</v>
      </c>
      <c r="M11" s="1">
        <v>9</v>
      </c>
      <c r="N11" s="1" t="s">
        <v>313</v>
      </c>
      <c r="O11" s="1" t="s">
        <v>314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269</v>
      </c>
      <c r="J12" s="1" t="s">
        <v>270</v>
      </c>
      <c r="K12" s="1" t="s">
        <v>80</v>
      </c>
      <c r="L12" s="1" t="s">
        <v>268</v>
      </c>
      <c r="M12" s="1">
        <v>10</v>
      </c>
      <c r="N12" s="1" t="s">
        <v>311</v>
      </c>
      <c r="O12" s="1" t="s">
        <v>312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269</v>
      </c>
      <c r="J13" s="1" t="s">
        <v>270</v>
      </c>
      <c r="K13" s="1" t="s">
        <v>80</v>
      </c>
      <c r="L13" s="1" t="s">
        <v>268</v>
      </c>
      <c r="M13" s="1">
        <v>11</v>
      </c>
      <c r="N13" s="1" t="s">
        <v>309</v>
      </c>
      <c r="O13" s="1" t="s">
        <v>310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269</v>
      </c>
      <c r="J14" s="1" t="s">
        <v>270</v>
      </c>
      <c r="K14" s="1" t="s">
        <v>81</v>
      </c>
      <c r="L14" s="1" t="s">
        <v>267</v>
      </c>
      <c r="M14" s="1">
        <v>12</v>
      </c>
      <c r="N14" s="1" t="s">
        <v>307</v>
      </c>
      <c r="O14" s="1" t="s">
        <v>308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269</v>
      </c>
      <c r="J15" s="1" t="s">
        <v>270</v>
      </c>
      <c r="K15" s="1" t="s">
        <v>81</v>
      </c>
      <c r="L15" s="1" t="s">
        <v>267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269</v>
      </c>
      <c r="J16" s="1" t="s">
        <v>270</v>
      </c>
      <c r="K16" s="1" t="s">
        <v>80</v>
      </c>
      <c r="L16" s="1" t="s">
        <v>268</v>
      </c>
    </row>
    <row r="17" spans="4:12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269</v>
      </c>
      <c r="J17" s="1" t="s">
        <v>270</v>
      </c>
      <c r="K17" s="1" t="s">
        <v>80</v>
      </c>
      <c r="L17" s="1" t="s">
        <v>268</v>
      </c>
    </row>
    <row r="18" spans="4:12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269</v>
      </c>
      <c r="J18" s="1" t="s">
        <v>270</v>
      </c>
      <c r="K18" s="1" t="s">
        <v>80</v>
      </c>
      <c r="L18" s="1" t="s">
        <v>268</v>
      </c>
    </row>
    <row r="19" spans="4:12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269</v>
      </c>
      <c r="J19" s="1" t="s">
        <v>270</v>
      </c>
      <c r="K19" s="1" t="s">
        <v>81</v>
      </c>
      <c r="L19" s="1" t="s">
        <v>267</v>
      </c>
    </row>
    <row r="20" spans="4:12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269</v>
      </c>
      <c r="J20" s="1" t="s">
        <v>270</v>
      </c>
      <c r="K20" s="1" t="s">
        <v>81</v>
      </c>
      <c r="L20" s="1" t="s">
        <v>267</v>
      </c>
    </row>
    <row r="21" spans="4:12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269</v>
      </c>
      <c r="J21" s="1" t="s">
        <v>270</v>
      </c>
      <c r="K21" s="1" t="s">
        <v>81</v>
      </c>
      <c r="L21" s="1" t="s">
        <v>267</v>
      </c>
    </row>
    <row r="22" spans="4:12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269</v>
      </c>
      <c r="J22" s="1" t="s">
        <v>270</v>
      </c>
      <c r="K22" s="1" t="s">
        <v>81</v>
      </c>
      <c r="L22" s="1" t="s">
        <v>267</v>
      </c>
    </row>
    <row r="23" spans="4:12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269</v>
      </c>
      <c r="J23" s="1" t="s">
        <v>270</v>
      </c>
      <c r="K23" s="1" t="s">
        <v>80</v>
      </c>
      <c r="L23" s="1" t="s">
        <v>268</v>
      </c>
    </row>
    <row r="24" spans="4:12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269</v>
      </c>
      <c r="J24" s="1" t="s">
        <v>270</v>
      </c>
      <c r="K24" s="1" t="s">
        <v>80</v>
      </c>
      <c r="L24" s="1" t="s">
        <v>268</v>
      </c>
    </row>
    <row r="25" spans="4:12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269</v>
      </c>
      <c r="J25" s="1" t="s">
        <v>270</v>
      </c>
      <c r="K25" s="1" t="s">
        <v>273</v>
      </c>
    </row>
  </sheetData>
  <sortState xmlns:xlrd2="http://schemas.microsoft.com/office/spreadsheetml/2017/richdata2" ref="M3:O14">
    <sortCondition ref="M3:M14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2026-05-10T10:06:05Z</dcterms:modified>
</cp:coreProperties>
</file>