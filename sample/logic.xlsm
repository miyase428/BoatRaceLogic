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399B6A43-356A-43BA-B7E6-CE1ADC24BC2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D58" i="3" l="1" a="1"/>
  <c r="D58" i="3" s="1"/>
  <c r="F58" i="3" s="1"/>
  <c r="C59" i="3" a="1"/>
  <c r="C59" i="3" s="1"/>
  <c r="D3" i="3"/>
  <c r="D59" i="3" l="1" a="1"/>
  <c r="D59" i="3" s="1"/>
  <c r="E58" i="3" a="1"/>
  <c r="E58" i="3" s="1"/>
  <c r="D12" i="1"/>
  <c r="E12" i="1"/>
  <c r="F12" i="1"/>
  <c r="G12" i="1"/>
  <c r="H12" i="1"/>
  <c r="C12" i="1"/>
  <c r="G58" i="3" l="1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G59" i="3" l="1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<sst xmlns="http://schemas.openxmlformats.org/spreadsheetml/2006/main" count="427" uniqueCount="270">
  <si>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</si>
  <si>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</si>
  <si>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</si>
  <si>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</si>
  <si>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</si>
  <si>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</si>
  <si>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</si>
  <si>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</si>
  <si>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</si>
  <si>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</si>
  <si>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</si>
  <si>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</si>
  <si>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</si>
  <si>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</si>
  <si>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</si>
  <si>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</si>
  <si>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</si>
  <si>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</si>
  <si>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</si>
  <si>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</si>
  <si>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</si>
  <si>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</si>
  <si>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</si>
  <si>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</si>
  <si>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</si>
  <si>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</si>
  <si>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</si>
  <si>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</si>
  <si>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</si>
  <si>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</si>
  <si>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</si>
  <si>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</si>
  <si>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</si>
  <si>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</si>
  <si>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</si>
  <si>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</si>
  <si>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</si>
  <si>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</si>
  <si>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</si>
  <si>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</si>
  <si>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</si>
  <si>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</si>
  <si>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</si>
  <si>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</si>
  <si>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</si>
  <si>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</si>
  <si>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</si>
  <si>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</si>
  <si>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</si>
  <si>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</si>
  <si>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</si>
  <si>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</si>
  <si>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</si>
  <si>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</si>
  <si>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</si>
  <si>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</si>
  <si>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</si>
  <si>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</si>
  <si>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</si>
  <si>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</si>
  <si>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</si>
  <si>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</si>
  <si>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</si>
  <si>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</si>
  <si>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</si>
  <si>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</si>
  <si>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</si>
  <si>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</si>
  <si>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</si>
  <si>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</si>
  <si>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</si>
  <si>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</si>
  <si>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</si>
  <si>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</si>
  <si>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</si>
  <si>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</si>
  <si>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</si>
  <si>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</si>
  <si>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</si>
  <si>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</si>
  <si>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</si>
  <si>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</si>
  <si>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</si>
  <si>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</si>
  <si>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</si>
  <si>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</si>
  <si>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</si>
  <si>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</si>
  <si>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</si>
  <si>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</si>
  <si>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</si>
  <si>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</si>
  <si>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</si>
  <si>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</si>
  <si>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</si>
  <si>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</si>
  <si>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</si>
  <si>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</si>
  <si>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</si>
  <si>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</si>
  <si>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</si>
  <si>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</si>
  <si>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</si>
  <si>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</si>
  <si>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</si>
  <si>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</si>
  <si>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</si>
  <si>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</si>
  <si>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</si>
  <si>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</si>
  <si>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</si>
  <si>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</si>
  <si>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</si>
  <si>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</si>
  <si>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</si>
  <si>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</si>
  <si>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</si>
  <si>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</si>
  <si>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</si>
  <si>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</si>
  <si>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</si>
  <si>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</si>
  <si>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</si>
  <si>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</si>
  <si>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</si>
  <si>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</si>
  <si>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</si>
  <si>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</si>
  <si>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</si>
  <si>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</si>
  <si>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</si>
  <si>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</si>
  <si>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</si>
  <si>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</si>
  <si>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</si>
  <si>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</si>
  <si>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</si>
  <si>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</si>
  <si>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</si>
  <si>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</si>
  <si>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</si>
  <si>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</si>
  <si>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</si>
  <si>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</si>
  <si>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</si>
  <si>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</si>
  <si>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</si>
  <si>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</si>
  <si>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</si>
  <si>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</si>
  <si>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</si>
  <si>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</si>
  <si>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</si>
  <si>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</si>
  <si>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</si>
  <si>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</si>
  <si>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</si>
  <si>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</si>
  <si>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</si>
  <si>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</si>
  <si>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</si>
  <si>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</si>
  <si>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</si>
  <si>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</si>
  <si>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</si>
  <si>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</si>
  <si>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</si>
  <si>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</si>
  <si>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</si>
  <si>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</si>
  <si>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</si>
  <si>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</si>
  <si>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</si>
  <si>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</si>
  <si>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</si>
  <si>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</si>
  <si>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</si>
  <si>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</si>
  <si>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</si>
  <si>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</si>
  <si>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</si>
  <si>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</si>
  <si>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</si>
  <si>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</si>
  <si>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</si>
  <si>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</si>
  <si>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</si>
  <si>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</si>
  <si>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</si>
  <si>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</si>
  <si>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</si>
  <si>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</si>
  <si>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</si>
  <si>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</si>
  <si>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</si>
  <si>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</si>
  <si>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</si>
  <si>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</si>
  <si>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</si>
  <si>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</si>
  <si>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</si>
  <si>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</si>
  <si>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</si>
  <si>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</si>
  <si>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</si>
  <si>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</si>
  <si>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</si>
  <si>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</si>
  <si>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</si>
  <si>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</si>
  <si>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</si>
  <si>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</si>
  <si>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</si>
  <si>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</si>
  <si>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</si>
  <si>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</si>
  <si>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</si>
  <si>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</si>
  <si>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</si>
  <si>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</si>
  <si>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</si>
  <si>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</si>
  <si>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</si>
  <si>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</si>
  <si>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</si>
  <si>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</si>
  <si>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</si>
  <si>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</si>
  <si>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</si>
  <si>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</si>
  <si>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</si>
  <si>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</si>
  <si>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</si>
  <si>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</si>
  <si>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</si>
  <si>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</si>
  <si>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</si>
  <si>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逃げ型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</si>
  <si>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</si>
  <si>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</si>
  <si>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</si>
  <si>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</si>
  <si>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</si>
  <si>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</si>
  <si>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</si>
  <si>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</si>
  <si>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</si>
  <si>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</si>
  <si>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○</t>
    <phoneticPr fontId="1"/>
  </si>
  <si>
    <t>A1</t>
    <phoneticPr fontId="1"/>
  </si>
  <si>
    <t>伸び型</t>
    <phoneticPr fontId="1"/>
  </si>
  <si>
    <t>ST</t>
    <phoneticPr fontId="1"/>
  </si>
  <si>
    <t>愛知</t>
    <phoneticPr fontId="1"/>
  </si>
  <si>
    <t>群馬</t>
    <phoneticPr fontId="1"/>
  </si>
  <si>
    <t>◎</t>
    <phoneticPr fontId="1"/>
  </si>
  <si>
    <t>超伸び型</t>
    <phoneticPr fontId="1"/>
  </si>
  <si>
    <t>豊田健士</t>
    <phoneticPr fontId="1"/>
  </si>
  <si>
    <t>三重</t>
    <phoneticPr fontId="1"/>
  </si>
  <si>
    <t>藤生雄人</t>
    <phoneticPr fontId="1"/>
  </si>
  <si>
    <t>A2</t>
    <phoneticPr fontId="1"/>
  </si>
  <si>
    <t>土井歩夢</t>
    <phoneticPr fontId="1"/>
  </si>
  <si>
    <t>福岡</t>
    <phoneticPr fontId="1"/>
  </si>
  <si>
    <t>△</t>
    <phoneticPr fontId="1"/>
  </si>
  <si>
    <t>川原　涼</t>
    <phoneticPr fontId="1"/>
  </si>
  <si>
    <t>本岡勝利</t>
    <phoneticPr fontId="1"/>
  </si>
  <si>
    <t>広島</t>
    <phoneticPr fontId="1"/>
  </si>
  <si>
    <t>三松直美</t>
    <phoneticPr fontId="1"/>
  </si>
  <si>
    <t>B2</t>
    <phoneticPr fontId="1"/>
  </si>
  <si>
    <t>岡山</t>
    <phoneticPr fontId="1"/>
  </si>
  <si>
    <t>F.05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</si>
</sst>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6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3" customFormat="1" ht="27">
      <c r="A1" s="30" t="s">
        <v>83</v>
      </c>
      <c r="B1" s="31" t="s">
        <v>84</v>
      </c>
      <c r="C1" s="31" t="s">
        <v>85</v>
      </c>
      <c r="D1" s="31" t="s">
        <v>86</v>
      </c>
      <c r="E1" s="31" t="s">
        <v>87</v>
      </c>
      <c r="F1" s="31" t="s">
        <v>88</v>
      </c>
      <c r="G1" s="31" t="s">
        <v>78</v>
      </c>
      <c r="H1" s="31" t="s">
        <v>89</v>
      </c>
      <c r="I1" s="31" t="s">
        <v>90</v>
      </c>
      <c r="J1" s="31" t="s">
        <v>91</v>
      </c>
      <c r="K1" s="31" t="s">
        <v>92</v>
      </c>
      <c r="L1" s="31" t="s">
        <v>93</v>
      </c>
      <c r="M1" s="31" t="s">
        <v>94</v>
      </c>
      <c r="N1" s="31" t="s">
        <v>95</v>
      </c>
      <c r="O1" s="31" t="s">
        <v>96</v>
      </c>
      <c r="P1" s="31" t="s">
        <v>97</v>
      </c>
      <c r="Q1" s="31" t="s">
        <v>98</v>
      </c>
      <c r="R1" s="31" t="s">
        <v>99</v>
      </c>
      <c r="S1" s="31" t="s">
        <v>100</v>
      </c>
      <c r="T1" s="32" t="s">
        <v>101</v>
      </c>
    </row>
    <row r="2" spans="1:20">
      <c r="A2" s="34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4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4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4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4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5">
        <v>6</v>
      </c>
      <c r="B7" s="15" t="s">
        <v>110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106</v>
      </c>
      <c r="I7" s="15" t="s">
        <v>104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6" t="s">
        <v>116</v>
      </c>
    </row>
    <row r="13" spans="1:20">
      <c r="A13" s="1" t="s">
        <v>86</v>
      </c>
      <c r="B13" s="1" t="s">
        <v>115</v>
      </c>
      <c r="C13" s="36" t="s">
        <v>117</v>
      </c>
    </row>
    <row r="14" spans="1:20">
      <c r="A14" s="1" t="s">
        <v>87</v>
      </c>
      <c r="B14" s="36" t="s">
        <v>118</v>
      </c>
      <c r="C14" s="36" t="s">
        <v>119</v>
      </c>
    </row>
    <row r="15" spans="1:20">
      <c r="A15" s="1" t="s">
        <v>88</v>
      </c>
      <c r="B15" s="36" t="s">
        <v>118</v>
      </c>
      <c r="C15" s="36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6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6" t="s">
        <v>123</v>
      </c>
    </row>
    <row r="20" spans="1:4">
      <c r="A20" s="1" t="s">
        <v>90</v>
      </c>
      <c r="B20" s="1" t="s">
        <v>121</v>
      </c>
      <c r="C20" s="1" t="s">
        <v>130</v>
      </c>
      <c r="D20" s="36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7" t="s">
        <v>135</v>
      </c>
      <c r="B112" s="38" t="s">
        <v>136</v>
      </c>
      <c r="C112" s="38"/>
      <c r="D112" s="38"/>
      <c r="E112" s="38" t="s">
        <v>137</v>
      </c>
      <c r="F112" s="38" t="s">
        <v>138</v>
      </c>
      <c r="G112" s="38" t="s">
        <v>87</v>
      </c>
      <c r="H112" s="38" t="s">
        <v>88</v>
      </c>
      <c r="I112" s="38"/>
      <c r="J112" s="38" t="s">
        <v>139</v>
      </c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 t="s">
        <v>140</v>
      </c>
      <c r="Y112" s="39"/>
    </row>
    <row r="113" spans="1:25">
      <c r="A113" s="40"/>
      <c r="J113" s="1" t="s">
        <v>141</v>
      </c>
      <c r="Y113" s="41"/>
    </row>
    <row r="114" spans="1:25">
      <c r="A114" s="40"/>
      <c r="J114" s="1" t="s">
        <v>142</v>
      </c>
      <c r="Y114" s="41"/>
    </row>
    <row r="115" spans="1:25">
      <c r="A115" s="40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41"/>
    </row>
    <row r="116" spans="1:25">
      <c r="A116" s="40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41"/>
    </row>
    <row r="117" spans="1:25">
      <c r="A117" s="40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41"/>
    </row>
    <row r="118" spans="1:25">
      <c r="A118" s="40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41"/>
    </row>
    <row r="119" spans="1:25">
      <c r="A119" s="40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1"/>
    </row>
    <row r="120" spans="1:25">
      <c r="A120" s="40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1"/>
    </row>
    <row r="121" spans="1:25">
      <c r="A121" s="40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1"/>
    </row>
    <row r="122" spans="1:25">
      <c r="A122" s="40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1"/>
    </row>
    <row r="123" spans="1:25">
      <c r="A123" s="40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1"/>
    </row>
    <row r="124" spans="1:25">
      <c r="A124" s="40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1"/>
    </row>
    <row r="125" spans="1:25">
      <c r="A125" s="40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1"/>
    </row>
    <row r="126" spans="1:25">
      <c r="A126" s="40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1"/>
    </row>
    <row r="127" spans="1:25">
      <c r="A127" s="40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1"/>
    </row>
    <row r="128" spans="1:25">
      <c r="A128" s="40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1"/>
    </row>
    <row r="129" spans="1:25">
      <c r="A129" s="40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1"/>
    </row>
    <row r="130" spans="1:25">
      <c r="A130" s="40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1"/>
    </row>
    <row r="131" spans="1:25">
      <c r="A131" s="40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1"/>
    </row>
    <row r="132" spans="1:25">
      <c r="A132" s="40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1"/>
    </row>
    <row r="133" spans="1:25">
      <c r="A133" s="40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1"/>
    </row>
    <row r="134" spans="1:25">
      <c r="A134" s="40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1"/>
    </row>
    <row r="135" spans="1:25">
      <c r="A135" s="40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1"/>
    </row>
    <row r="136" spans="1:25">
      <c r="A136" s="40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1"/>
    </row>
    <row r="137" spans="1:25">
      <c r="A137" s="40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1"/>
    </row>
    <row r="138" spans="1:25">
      <c r="A138" s="40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1"/>
    </row>
    <row r="139" spans="1:25">
      <c r="A139" s="40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1"/>
    </row>
    <row r="140" spans="1:25">
      <c r="A140" s="40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1"/>
    </row>
    <row r="141" spans="1:25">
      <c r="A141" s="40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1"/>
    </row>
    <row r="142" spans="1:25">
      <c r="A142" s="40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1"/>
    </row>
    <row r="143" spans="1:25" ht="14.25" thickBot="1">
      <c r="A143" s="42" t="s">
        <v>184</v>
      </c>
      <c r="B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4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68"/>
  <sheetViews>
    <sheetView tabSelected="1" topLeftCell="A29" workbookViewId="0">
      <selection activeCell="I43" sqref="I43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9" style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46137</v>
      </c>
      <c r="D3" s="10" t="str">
        <f>E3&amp;E4&amp;E5</f>
        <v>20260425KRY06</v>
      </c>
      <c r="E3" s="9" t="str">
        <f>TEXT(C3,"yyyymmdd")</f>
        <v>20260425</v>
      </c>
    </row>
    <row r="4" spans="1:21">
      <c r="B4" s="6" t="s">
        <v>3</v>
      </c>
      <c r="C4" s="3" t="s">
        <v>37</v>
      </c>
      <c r="E4" s="1" t="str">
        <f>VLOOKUP(C4,非表示!D:E,2,FALSE)</f>
        <v>KRY</v>
      </c>
    </row>
    <row r="5" spans="1:21" ht="14.25" thickBot="1">
      <c r="B5" s="7" t="s">
        <v>2</v>
      </c>
      <c r="C5" s="4" t="s">
        <v>9</v>
      </c>
      <c r="E5" s="1" t="str">
        <f>C5</f>
        <v>06</v>
      </c>
    </row>
    <row r="7" spans="1:21" ht="14.25" thickBot="1">
      <c r="A7" s="1" t="s">
        <v>202</v>
      </c>
    </row>
    <row r="8" spans="1:21" ht="27.75" thickBot="1">
      <c r="B8" s="54" t="s">
        <v>83</v>
      </c>
      <c r="C8" s="55" t="s">
        <v>84</v>
      </c>
      <c r="D8" s="55" t="s">
        <v>85</v>
      </c>
      <c r="E8" s="55" t="s">
        <v>86</v>
      </c>
      <c r="F8" s="55" t="s">
        <v>87</v>
      </c>
      <c r="G8" s="55" t="s">
        <v>88</v>
      </c>
      <c r="H8" s="55" t="s">
        <v>78</v>
      </c>
      <c r="I8" s="55" t="s">
        <v>89</v>
      </c>
      <c r="J8" s="55" t="s">
        <v>90</v>
      </c>
      <c r="K8" s="55" t="s">
        <v>91</v>
      </c>
      <c r="L8" s="55" t="s">
        <v>92</v>
      </c>
      <c r="M8" s="55" t="s">
        <v>93</v>
      </c>
      <c r="N8" s="55" t="s">
        <v>94</v>
      </c>
      <c r="O8" s="55" t="s">
        <v>95</v>
      </c>
      <c r="P8" s="55" t="s">
        <v>96</v>
      </c>
      <c r="Q8" s="55" t="s">
        <v>97</v>
      </c>
      <c r="R8" s="55" t="s">
        <v>98</v>
      </c>
      <c r="S8" s="55" t="s">
        <v>99</v>
      </c>
      <c r="T8" s="55" t="s">
        <v>100</v>
      </c>
      <c r="U8" s="56" t="s">
        <v>101</v>
      </c>
    </row>
    <row r="9" spans="1:21" ht="14.25" thickTop="1">
      <c r="B9" s="45">
        <v>1</v>
      </c>
      <c r="C9" s="46" t="s">
        <v>256</v>
      </c>
      <c r="D9" s="46">
        <v>6.9</v>
      </c>
      <c r="E9" s="46">
        <v>6.83</v>
      </c>
      <c r="F9" s="46">
        <v>31.33</v>
      </c>
      <c r="G9" s="46">
        <v>38.64</v>
      </c>
      <c r="H9" s="46">
        <v>0.14000000000000001</v>
      </c>
      <c r="I9" s="46" t="s">
        <v>249</v>
      </c>
      <c r="J9" s="46" t="s">
        <v>257</v>
      </c>
      <c r="K9" s="46">
        <v>8.2799999999999994</v>
      </c>
      <c r="L9" s="46">
        <v>5</v>
      </c>
      <c r="M9" s="46">
        <v>1.58249999999999</v>
      </c>
      <c r="N9" s="46">
        <v>3.41</v>
      </c>
      <c r="O9" s="46">
        <v>3.8</v>
      </c>
      <c r="P9" s="46">
        <v>13.28</v>
      </c>
      <c r="Q9" s="46">
        <v>4.9924999999999997</v>
      </c>
      <c r="R9" s="46">
        <v>3.8</v>
      </c>
      <c r="S9" s="46">
        <v>22.072500000000002</v>
      </c>
      <c r="T9" s="46">
        <v>4</v>
      </c>
      <c r="U9" s="47" t="s">
        <v>254</v>
      </c>
    </row>
    <row r="10" spans="1:21">
      <c r="B10" s="48">
        <v>2</v>
      </c>
      <c r="C10" s="49" t="s">
        <v>258</v>
      </c>
      <c r="D10" s="49">
        <v>5.69</v>
      </c>
      <c r="E10" s="49">
        <v>5.98</v>
      </c>
      <c r="F10" s="49">
        <v>31.71</v>
      </c>
      <c r="G10" s="49">
        <v>43.96</v>
      </c>
      <c r="H10" s="49">
        <v>0.18</v>
      </c>
      <c r="I10" s="49" t="s">
        <v>259</v>
      </c>
      <c r="J10" s="49" t="s">
        <v>253</v>
      </c>
      <c r="K10" s="49">
        <v>6.8280000000000003</v>
      </c>
      <c r="L10" s="49">
        <v>3.96</v>
      </c>
      <c r="M10" s="49">
        <v>1.6775</v>
      </c>
      <c r="N10" s="49">
        <v>4.74</v>
      </c>
      <c r="O10" s="49">
        <v>2.6</v>
      </c>
      <c r="P10" s="49">
        <v>10.788</v>
      </c>
      <c r="Q10" s="49">
        <v>6.4175000000000004</v>
      </c>
      <c r="R10" s="49">
        <v>2.6</v>
      </c>
      <c r="S10" s="49">
        <v>19.805499999999999</v>
      </c>
      <c r="T10" s="49">
        <v>8</v>
      </c>
      <c r="U10" s="50" t="s">
        <v>248</v>
      </c>
    </row>
    <row r="11" spans="1:21">
      <c r="B11" s="48">
        <v>3</v>
      </c>
      <c r="C11" s="49" t="s">
        <v>260</v>
      </c>
      <c r="D11" s="49">
        <v>5.73</v>
      </c>
      <c r="E11" s="49">
        <v>5.43</v>
      </c>
      <c r="F11" s="49">
        <v>22.73</v>
      </c>
      <c r="G11" s="49">
        <v>32.97</v>
      </c>
      <c r="H11" s="49">
        <v>0.17</v>
      </c>
      <c r="I11" s="49" t="s">
        <v>186</v>
      </c>
      <c r="J11" s="49" t="s">
        <v>261</v>
      </c>
      <c r="K11" s="49">
        <v>6.8760000000000003</v>
      </c>
      <c r="L11" s="49">
        <v>2.8599999999999901</v>
      </c>
      <c r="M11" s="49">
        <v>1</v>
      </c>
      <c r="N11" s="49">
        <v>1.9924999999999899</v>
      </c>
      <c r="O11" s="49">
        <v>2.8999999999999901</v>
      </c>
      <c r="P11" s="49">
        <v>9.7360000000000007</v>
      </c>
      <c r="Q11" s="49">
        <v>2.9924999999999899</v>
      </c>
      <c r="R11" s="49">
        <v>2.8999999999999901</v>
      </c>
      <c r="S11" s="49">
        <v>15.628499999999899</v>
      </c>
      <c r="T11" s="49">
        <v>15</v>
      </c>
      <c r="U11" s="50" t="s">
        <v>262</v>
      </c>
    </row>
    <row r="12" spans="1:21">
      <c r="B12" s="48">
        <v>4</v>
      </c>
      <c r="C12" s="49" t="s">
        <v>263</v>
      </c>
      <c r="D12" s="49">
        <v>5.57</v>
      </c>
      <c r="E12" s="49">
        <v>6.29</v>
      </c>
      <c r="F12" s="49">
        <v>32.89</v>
      </c>
      <c r="G12" s="49">
        <v>21.79</v>
      </c>
      <c r="H12" s="49">
        <v>0.14000000000000001</v>
      </c>
      <c r="I12" s="49" t="s">
        <v>259</v>
      </c>
      <c r="J12" s="49" t="s">
        <v>252</v>
      </c>
      <c r="K12" s="49">
        <v>6.6840000000000002</v>
      </c>
      <c r="L12" s="49">
        <v>4.58</v>
      </c>
      <c r="M12" s="49">
        <v>1.9724999999999999</v>
      </c>
      <c r="N12" s="49">
        <v>1</v>
      </c>
      <c r="O12" s="49">
        <v>3.8</v>
      </c>
      <c r="P12" s="49">
        <v>11.263999999999999</v>
      </c>
      <c r="Q12" s="49">
        <v>2.9725000000000001</v>
      </c>
      <c r="R12" s="49">
        <v>3.8</v>
      </c>
      <c r="S12" s="49">
        <v>18.0365</v>
      </c>
      <c r="T12" s="49">
        <v>15</v>
      </c>
      <c r="U12" s="50" t="s">
        <v>262</v>
      </c>
    </row>
    <row r="13" spans="1:21">
      <c r="B13" s="48">
        <v>5</v>
      </c>
      <c r="C13" s="49" t="s">
        <v>264</v>
      </c>
      <c r="D13" s="49">
        <v>4.1500000000000004</v>
      </c>
      <c r="E13" s="49">
        <v>0</v>
      </c>
      <c r="F13" s="49">
        <v>13.64</v>
      </c>
      <c r="G13" s="49">
        <v>28.4</v>
      </c>
      <c r="H13" s="49">
        <v>0.18</v>
      </c>
      <c r="I13" s="49" t="s">
        <v>186</v>
      </c>
      <c r="J13" s="49" t="s">
        <v>265</v>
      </c>
      <c r="K13" s="49">
        <v>4.9800000000000004</v>
      </c>
      <c r="L13" s="49">
        <v>1</v>
      </c>
      <c r="M13" s="49">
        <v>1</v>
      </c>
      <c r="N13" s="49">
        <v>1</v>
      </c>
      <c r="O13" s="49">
        <v>2.6</v>
      </c>
      <c r="P13" s="49">
        <v>5.98</v>
      </c>
      <c r="Q13" s="49">
        <v>2</v>
      </c>
      <c r="R13" s="49">
        <v>2.6</v>
      </c>
      <c r="S13" s="49">
        <v>10.58</v>
      </c>
      <c r="T13" s="49">
        <v>10</v>
      </c>
      <c r="U13" s="50" t="s">
        <v>203</v>
      </c>
    </row>
    <row r="14" spans="1:21" ht="14.25" thickBot="1">
      <c r="B14" s="51">
        <v>6</v>
      </c>
      <c r="C14" s="52" t="s">
        <v>266</v>
      </c>
      <c r="D14" s="52">
        <v>2.38</v>
      </c>
      <c r="E14" s="52">
        <v>3.67</v>
      </c>
      <c r="F14" s="52">
        <v>21.67</v>
      </c>
      <c r="G14" s="52">
        <v>32.56</v>
      </c>
      <c r="H14" s="52">
        <v>0.15</v>
      </c>
      <c r="I14" s="52" t="s">
        <v>267</v>
      </c>
      <c r="J14" s="52" t="s">
        <v>268</v>
      </c>
      <c r="K14" s="52">
        <v>2.8559999999999999</v>
      </c>
      <c r="L14" s="52">
        <v>1</v>
      </c>
      <c r="M14" s="52">
        <v>1</v>
      </c>
      <c r="N14" s="52">
        <v>1.89</v>
      </c>
      <c r="O14" s="52">
        <v>3.5</v>
      </c>
      <c r="P14" s="52">
        <v>3.8559999999999999</v>
      </c>
      <c r="Q14" s="52">
        <v>2.89</v>
      </c>
      <c r="R14" s="52">
        <v>3.5</v>
      </c>
      <c r="S14" s="52">
        <v>10.246</v>
      </c>
      <c r="T14" s="52">
        <v>13</v>
      </c>
      <c r="U14" s="53" t="s">
        <v>203</v>
      </c>
    </row>
    <row r="16" spans="1:21" ht="14.25" thickBot="1">
      <c r="A16" s="1" t="s">
        <v>187</v>
      </c>
    </row>
    <row r="17" spans="2:11" ht="14.25" thickBot="1">
      <c r="B17" s="57" t="s">
        <v>188</v>
      </c>
      <c r="C17" s="58">
        <v>123456</v>
      </c>
    </row>
    <row r="18" spans="2:11" ht="14.25" thickBot="1"/>
    <row r="19" spans="2:11" ht="14.25" thickBot="1">
      <c r="B19" s="59" t="s">
        <v>135</v>
      </c>
      <c r="C19" s="60" t="s">
        <v>189</v>
      </c>
      <c r="D19" s="60" t="s">
        <v>190</v>
      </c>
      <c r="E19" s="60" t="s">
        <v>191</v>
      </c>
      <c r="F19" s="60" t="s">
        <v>192</v>
      </c>
      <c r="G19" s="60" t="s">
        <v>193</v>
      </c>
      <c r="H19" s="60" t="s">
        <v>194</v>
      </c>
      <c r="I19" s="60" t="s">
        <v>195</v>
      </c>
      <c r="J19" s="60" t="s">
        <v>196</v>
      </c>
      <c r="K19" s="61" t="s">
        <v>197</v>
      </c>
    </row>
    <row r="20" spans="2:11" ht="14.25" thickTop="1">
      <c r="B20" s="45">
        <v>1</v>
      </c>
      <c r="C20" s="46" t="s">
        <v>198</v>
      </c>
      <c r="D20" s="84">
        <v>0.71700000000000008</v>
      </c>
      <c r="E20" s="84">
        <v>0</v>
      </c>
      <c r="F20" s="84">
        <v>0</v>
      </c>
      <c r="G20" s="84">
        <v>0</v>
      </c>
      <c r="H20" s="84">
        <v>0</v>
      </c>
      <c r="I20" s="84">
        <v>0.1</v>
      </c>
      <c r="J20" s="84">
        <v>8.3000000000000004E-2</v>
      </c>
      <c r="K20" s="85">
        <v>6.7000000000000004E-2</v>
      </c>
    </row>
    <row r="21" spans="2:11">
      <c r="B21" s="62">
        <v>1</v>
      </c>
      <c r="C21" s="63" t="s">
        <v>199</v>
      </c>
      <c r="D21" s="86">
        <v>0.74099999999999999</v>
      </c>
      <c r="E21" s="86">
        <v>0</v>
      </c>
      <c r="F21" s="86">
        <v>0</v>
      </c>
      <c r="G21" s="86">
        <v>0</v>
      </c>
      <c r="H21" s="86">
        <v>0</v>
      </c>
      <c r="I21" s="86">
        <v>0.111</v>
      </c>
      <c r="J21" s="86">
        <v>3.7000000000000005E-2</v>
      </c>
      <c r="K21" s="87">
        <v>0.111</v>
      </c>
    </row>
    <row r="22" spans="2:11">
      <c r="B22" s="64">
        <v>2</v>
      </c>
      <c r="C22" s="65" t="s">
        <v>198</v>
      </c>
      <c r="D22" s="88">
        <v>0</v>
      </c>
      <c r="E22" s="88">
        <v>0</v>
      </c>
      <c r="F22" s="88">
        <v>0</v>
      </c>
      <c r="G22" s="88">
        <v>0</v>
      </c>
      <c r="H22" s="88">
        <v>0.46700000000000003</v>
      </c>
      <c r="I22" s="88">
        <v>0</v>
      </c>
      <c r="J22" s="88">
        <v>0</v>
      </c>
      <c r="K22" s="89">
        <v>0</v>
      </c>
    </row>
    <row r="23" spans="2:11">
      <c r="B23" s="66">
        <v>2</v>
      </c>
      <c r="C23" s="67" t="s">
        <v>199</v>
      </c>
      <c r="D23" s="90">
        <v>0</v>
      </c>
      <c r="E23" s="90">
        <v>0</v>
      </c>
      <c r="F23" s="90">
        <v>0</v>
      </c>
      <c r="G23" s="90">
        <v>0</v>
      </c>
      <c r="H23" s="90">
        <v>0.38500000000000001</v>
      </c>
      <c r="I23" s="90">
        <v>0</v>
      </c>
      <c r="J23" s="90">
        <v>0</v>
      </c>
      <c r="K23" s="91">
        <v>0</v>
      </c>
    </row>
    <row r="24" spans="2:11">
      <c r="B24" s="68">
        <v>3</v>
      </c>
      <c r="C24" s="69" t="s">
        <v>198</v>
      </c>
      <c r="D24" s="92">
        <v>0</v>
      </c>
      <c r="E24" s="92">
        <v>0</v>
      </c>
      <c r="F24" s="92">
        <v>0</v>
      </c>
      <c r="G24" s="92">
        <v>3.7999999999999999E-2</v>
      </c>
      <c r="H24" s="92">
        <v>0</v>
      </c>
      <c r="I24" s="92">
        <v>0</v>
      </c>
      <c r="J24" s="92">
        <v>0</v>
      </c>
      <c r="K24" s="93">
        <v>0</v>
      </c>
    </row>
    <row r="25" spans="2:11">
      <c r="B25" s="70">
        <v>3</v>
      </c>
      <c r="C25" s="71" t="s">
        <v>199</v>
      </c>
      <c r="D25" s="94">
        <v>0</v>
      </c>
      <c r="E25" s="94">
        <v>0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5">
        <v>0</v>
      </c>
    </row>
    <row r="26" spans="2:11">
      <c r="B26" s="72">
        <v>4</v>
      </c>
      <c r="C26" s="73" t="s">
        <v>198</v>
      </c>
      <c r="D26" s="96">
        <v>0</v>
      </c>
      <c r="E26" s="96">
        <v>5.9000000000000004E-2</v>
      </c>
      <c r="F26" s="96">
        <v>0.17600000000000002</v>
      </c>
      <c r="G26" s="96">
        <v>0</v>
      </c>
      <c r="H26" s="96">
        <v>0</v>
      </c>
      <c r="I26" s="96">
        <v>0</v>
      </c>
      <c r="J26" s="96">
        <v>0</v>
      </c>
      <c r="K26" s="97">
        <v>0</v>
      </c>
    </row>
    <row r="27" spans="2:11">
      <c r="B27" s="74">
        <v>4</v>
      </c>
      <c r="C27" s="75" t="s">
        <v>199</v>
      </c>
      <c r="D27" s="98">
        <v>0</v>
      </c>
      <c r="E27" s="98">
        <v>7.6999999999999999E-2</v>
      </c>
      <c r="F27" s="98">
        <v>0.154</v>
      </c>
      <c r="G27" s="98">
        <v>0</v>
      </c>
      <c r="H27" s="98">
        <v>0</v>
      </c>
      <c r="I27" s="98">
        <v>0</v>
      </c>
      <c r="J27" s="98">
        <v>0</v>
      </c>
      <c r="K27" s="99">
        <v>0</v>
      </c>
    </row>
    <row r="28" spans="2:11">
      <c r="B28" s="76">
        <v>5</v>
      </c>
      <c r="C28" s="77" t="s">
        <v>198</v>
      </c>
      <c r="D28" s="100">
        <v>0</v>
      </c>
      <c r="E28" s="100">
        <v>0</v>
      </c>
      <c r="F28" s="100">
        <v>0</v>
      </c>
      <c r="G28" s="100">
        <v>5.7000000000000002E-2</v>
      </c>
      <c r="H28" s="100">
        <v>0</v>
      </c>
      <c r="I28" s="100">
        <v>0</v>
      </c>
      <c r="J28" s="100">
        <v>0</v>
      </c>
      <c r="K28" s="101">
        <v>0</v>
      </c>
    </row>
    <row r="29" spans="2:11">
      <c r="B29" s="78">
        <v>5</v>
      </c>
      <c r="C29" s="79" t="s">
        <v>199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3">
        <v>0</v>
      </c>
    </row>
    <row r="30" spans="2:11">
      <c r="B30" s="80">
        <v>6</v>
      </c>
      <c r="C30" s="81" t="s">
        <v>198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5">
        <v>0</v>
      </c>
    </row>
    <row r="31" spans="2:11" ht="14.25" thickBot="1">
      <c r="B31" s="82">
        <v>6</v>
      </c>
      <c r="C31" s="83" t="s">
        <v>199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7">
        <v>0</v>
      </c>
    </row>
    <row r="33" spans="1:24">
      <c r="A33" s="1" t="s">
        <v>200</v>
      </c>
    </row>
    <row r="36" spans="1:24" ht="14.25" thickBot="1"/>
    <row r="37" spans="1:24" ht="41.25" thickBot="1">
      <c r="B37" s="54" t="s">
        <v>83</v>
      </c>
      <c r="C37" s="55" t="s">
        <v>204</v>
      </c>
      <c r="D37" s="55" t="s">
        <v>201</v>
      </c>
      <c r="E37" s="55" t="s">
        <v>79</v>
      </c>
      <c r="F37" s="55" t="s">
        <v>80</v>
      </c>
      <c r="G37" s="55" t="s">
        <v>81</v>
      </c>
      <c r="H37" s="55" t="s">
        <v>251</v>
      </c>
      <c r="I37" s="55" t="s">
        <v>205</v>
      </c>
      <c r="J37" s="55" t="s">
        <v>206</v>
      </c>
      <c r="K37" s="55" t="s">
        <v>207</v>
      </c>
      <c r="L37" s="55" t="s">
        <v>208</v>
      </c>
      <c r="M37" s="55" t="s">
        <v>209</v>
      </c>
      <c r="N37" s="55" t="s">
        <v>210</v>
      </c>
      <c r="O37" s="55" t="s">
        <v>211</v>
      </c>
      <c r="P37" s="55" t="s">
        <v>212</v>
      </c>
      <c r="Q37" s="55" t="s">
        <v>213</v>
      </c>
      <c r="R37" s="55" t="s">
        <v>220</v>
      </c>
      <c r="S37" s="55" t="s">
        <v>214</v>
      </c>
      <c r="T37" s="55" t="s">
        <v>215</v>
      </c>
      <c r="U37" s="55" t="s">
        <v>216</v>
      </c>
      <c r="V37" s="55" t="s">
        <v>217</v>
      </c>
      <c r="W37" s="55" t="s">
        <v>218</v>
      </c>
      <c r="X37" s="56" t="s">
        <v>219</v>
      </c>
    </row>
    <row r="38" spans="1:24" ht="14.25" thickTop="1">
      <c r="B38" s="108">
        <v>1</v>
      </c>
      <c r="C38" s="109">
        <v>1</v>
      </c>
      <c r="D38" s="109">
        <v>6.7</v>
      </c>
      <c r="E38" s="109">
        <v>18.22</v>
      </c>
      <c r="F38" s="109">
        <v>4.24</v>
      </c>
      <c r="G38" s="109">
        <v>7.14</v>
      </c>
      <c r="H38" s="109">
        <v>0.16</v>
      </c>
      <c r="I38" s="109">
        <v>-0.08</v>
      </c>
      <c r="J38" s="109">
        <v>4</v>
      </c>
      <c r="K38" s="109">
        <v>1</v>
      </c>
      <c r="L38" s="109">
        <v>5</v>
      </c>
      <c r="M38" s="109">
        <v>5</v>
      </c>
      <c r="N38" s="109">
        <v>1</v>
      </c>
      <c r="O38" s="109">
        <v>15</v>
      </c>
      <c r="P38" s="109">
        <v>2</v>
      </c>
      <c r="Q38" s="109">
        <v>10</v>
      </c>
      <c r="R38" s="109">
        <v>10.0075</v>
      </c>
      <c r="S38" s="109">
        <v>27</v>
      </c>
      <c r="T38" s="109">
        <v>0</v>
      </c>
      <c r="U38" s="109" t="s">
        <v>255</v>
      </c>
      <c r="V38" s="109">
        <v>1</v>
      </c>
      <c r="W38" s="109">
        <v>0</v>
      </c>
      <c r="X38" s="110">
        <v>27</v>
      </c>
    </row>
    <row r="39" spans="1:24">
      <c r="B39" s="34">
        <v>2</v>
      </c>
      <c r="C39" s="11">
        <v>2</v>
      </c>
      <c r="D39" s="11">
        <v>6.71</v>
      </c>
      <c r="E39" s="11">
        <v>18.28</v>
      </c>
      <c r="F39" s="11">
        <v>4.51</v>
      </c>
      <c r="G39" s="11">
        <v>7.45</v>
      </c>
      <c r="H39" s="11">
        <v>0.15</v>
      </c>
      <c r="I39" s="11">
        <v>-7.0000000000000201E-2</v>
      </c>
      <c r="J39" s="11">
        <v>4</v>
      </c>
      <c r="K39" s="11">
        <v>1</v>
      </c>
      <c r="L39" s="11">
        <v>3</v>
      </c>
      <c r="M39" s="11">
        <v>3</v>
      </c>
      <c r="N39" s="11">
        <v>1</v>
      </c>
      <c r="O39" s="11">
        <v>11</v>
      </c>
      <c r="P39" s="11">
        <v>2</v>
      </c>
      <c r="Q39" s="11">
        <v>6</v>
      </c>
      <c r="R39" s="11">
        <v>4.5824999999999996</v>
      </c>
      <c r="S39" s="11">
        <v>19</v>
      </c>
      <c r="T39" s="11">
        <v>0</v>
      </c>
      <c r="U39" s="11" t="s">
        <v>222</v>
      </c>
      <c r="V39" s="11">
        <v>0</v>
      </c>
      <c r="W39" s="11">
        <v>0</v>
      </c>
      <c r="X39" s="14">
        <v>19</v>
      </c>
    </row>
    <row r="40" spans="1:24">
      <c r="B40" s="34">
        <v>3</v>
      </c>
      <c r="C40" s="11">
        <v>3</v>
      </c>
      <c r="D40" s="11">
        <v>6.91</v>
      </c>
      <c r="E40" s="11">
        <v>18.55</v>
      </c>
      <c r="F40" s="11">
        <v>4.5</v>
      </c>
      <c r="G40" s="11">
        <v>7.48</v>
      </c>
      <c r="H40" s="11">
        <v>0.16</v>
      </c>
      <c r="I40" s="11">
        <v>0.12999999999999901</v>
      </c>
      <c r="J40" s="11">
        <v>1</v>
      </c>
      <c r="K40" s="11">
        <v>1</v>
      </c>
      <c r="L40" s="11">
        <v>3</v>
      </c>
      <c r="M40" s="11">
        <v>3</v>
      </c>
      <c r="N40" s="11">
        <v>1</v>
      </c>
      <c r="O40" s="11">
        <v>8</v>
      </c>
      <c r="P40" s="11">
        <v>2</v>
      </c>
      <c r="Q40" s="11">
        <v>6</v>
      </c>
      <c r="R40" s="11">
        <v>5.0075000000000101</v>
      </c>
      <c r="S40" s="11">
        <v>16</v>
      </c>
      <c r="T40" s="11">
        <v>0</v>
      </c>
      <c r="U40" s="11" t="s">
        <v>222</v>
      </c>
      <c r="V40" s="11">
        <v>0</v>
      </c>
      <c r="W40" s="11">
        <v>1</v>
      </c>
      <c r="X40" s="14">
        <v>17</v>
      </c>
    </row>
    <row r="41" spans="1:24">
      <c r="B41" s="34">
        <v>4</v>
      </c>
      <c r="C41" s="11">
        <v>4</v>
      </c>
      <c r="D41" s="11">
        <v>6.76</v>
      </c>
      <c r="E41" s="11">
        <v>18.420000000000002</v>
      </c>
      <c r="F41" s="11">
        <v>4.67</v>
      </c>
      <c r="G41" s="11">
        <v>7.47</v>
      </c>
      <c r="H41" s="11">
        <v>-0.05</v>
      </c>
      <c r="I41" s="11">
        <v>-2.0000000000000399E-2</v>
      </c>
      <c r="J41" s="11">
        <v>3</v>
      </c>
      <c r="K41" s="11">
        <v>1</v>
      </c>
      <c r="L41" s="11">
        <v>3</v>
      </c>
      <c r="M41" s="11">
        <v>3</v>
      </c>
      <c r="N41" s="11">
        <v>5</v>
      </c>
      <c r="O41" s="11">
        <v>14</v>
      </c>
      <c r="P41" s="11">
        <v>6</v>
      </c>
      <c r="Q41" s="11">
        <v>6</v>
      </c>
      <c r="R41" s="11">
        <v>11.0275</v>
      </c>
      <c r="S41" s="11">
        <v>26</v>
      </c>
      <c r="T41" s="11">
        <v>0</v>
      </c>
      <c r="U41" s="11" t="s">
        <v>250</v>
      </c>
      <c r="V41" s="11">
        <v>0</v>
      </c>
      <c r="W41" s="11">
        <v>0</v>
      </c>
      <c r="X41" s="14">
        <v>26</v>
      </c>
    </row>
    <row r="42" spans="1:24">
      <c r="B42" s="34">
        <v>5</v>
      </c>
      <c r="C42" s="11">
        <v>5</v>
      </c>
      <c r="D42" s="11">
        <v>6.77</v>
      </c>
      <c r="E42" s="11">
        <v>18.47</v>
      </c>
      <c r="F42" s="11">
        <v>5.03</v>
      </c>
      <c r="G42" s="11">
        <v>7.55</v>
      </c>
      <c r="H42" s="11">
        <v>0.01</v>
      </c>
      <c r="I42" s="11">
        <v>-1.00000000000006E-2</v>
      </c>
      <c r="J42" s="11">
        <v>3</v>
      </c>
      <c r="K42" s="11">
        <v>1</v>
      </c>
      <c r="L42" s="11">
        <v>1</v>
      </c>
      <c r="M42" s="11">
        <v>2</v>
      </c>
      <c r="N42" s="11">
        <v>5</v>
      </c>
      <c r="O42" s="11">
        <v>11</v>
      </c>
      <c r="P42" s="11">
        <v>6</v>
      </c>
      <c r="Q42" s="11">
        <v>3</v>
      </c>
      <c r="R42" s="11">
        <v>9</v>
      </c>
      <c r="S42" s="11">
        <v>20</v>
      </c>
      <c r="T42" s="11">
        <v>0</v>
      </c>
      <c r="U42" s="11" t="s">
        <v>250</v>
      </c>
      <c r="V42" s="11">
        <v>0</v>
      </c>
      <c r="W42" s="11">
        <v>1</v>
      </c>
      <c r="X42" s="14">
        <v>21</v>
      </c>
    </row>
    <row r="43" spans="1:24" ht="14.25" thickBot="1">
      <c r="B43" s="35">
        <v>6</v>
      </c>
      <c r="C43" s="15">
        <v>6</v>
      </c>
      <c r="D43" s="15">
        <v>6.89</v>
      </c>
      <c r="E43" s="15">
        <v>18.93</v>
      </c>
      <c r="F43" s="15">
        <v>4.6399999999999997</v>
      </c>
      <c r="G43" s="15">
        <v>7.62</v>
      </c>
      <c r="H43" s="15">
        <v>7.0000000000000007E-2</v>
      </c>
      <c r="I43" s="15">
        <v>0.109999999999999</v>
      </c>
      <c r="J43" s="15">
        <v>1</v>
      </c>
      <c r="K43" s="15">
        <v>1</v>
      </c>
      <c r="L43" s="15">
        <v>3</v>
      </c>
      <c r="M43" s="15">
        <v>2</v>
      </c>
      <c r="N43" s="15">
        <v>4</v>
      </c>
      <c r="O43" s="15">
        <v>10</v>
      </c>
      <c r="P43" s="15">
        <v>5</v>
      </c>
      <c r="Q43" s="15">
        <v>5</v>
      </c>
      <c r="R43" s="15">
        <v>7.1099999999999994</v>
      </c>
      <c r="S43" s="15">
        <v>20</v>
      </c>
      <c r="T43" s="15">
        <v>0</v>
      </c>
      <c r="U43" s="15" t="s">
        <v>222</v>
      </c>
      <c r="V43" s="15">
        <v>0</v>
      </c>
      <c r="W43" s="15">
        <v>0</v>
      </c>
      <c r="X43" s="16">
        <v>20</v>
      </c>
    </row>
    <row r="46" spans="1:24">
      <c r="A46" s="1" t="s">
        <v>223</v>
      </c>
    </row>
    <row r="48" spans="1:24" ht="14.25" thickBot="1"/>
    <row r="49" spans="2:14" ht="41.25" thickBot="1">
      <c r="B49" s="54" t="s">
        <v>83</v>
      </c>
      <c r="C49" s="55" t="s">
        <v>235</v>
      </c>
      <c r="D49" s="55" t="s">
        <v>224</v>
      </c>
      <c r="E49" s="55" t="s">
        <v>225</v>
      </c>
      <c r="F49" s="115" t="s">
        <v>226</v>
      </c>
      <c r="G49" s="55" t="s">
        <v>227</v>
      </c>
      <c r="H49" s="55" t="s">
        <v>228</v>
      </c>
      <c r="I49" s="55" t="s">
        <v>229</v>
      </c>
      <c r="J49" s="55" t="s">
        <v>230</v>
      </c>
      <c r="K49" s="55" t="s">
        <v>231</v>
      </c>
      <c r="L49" s="55" t="s">
        <v>232</v>
      </c>
      <c r="M49" s="55" t="s">
        <v>233</v>
      </c>
      <c r="N49" s="56" t="s">
        <v>234</v>
      </c>
    </row>
    <row r="50" spans="2:14" ht="14.25" thickTop="1">
      <c r="B50" s="108">
        <v>1</v>
      </c>
      <c r="C50" s="109">
        <f t="shared" ref="C50:C55" si="0">C38</f>
        <v>1</v>
      </c>
      <c r="D50" s="114">
        <v>0.77685950413223104</v>
      </c>
      <c r="E50" s="114">
        <v>0.80357142857142805</v>
      </c>
      <c r="F50" s="114">
        <v>0.96330000000000005</v>
      </c>
      <c r="G50" s="109" t="s">
        <v>236</v>
      </c>
      <c r="H50" s="109" t="s">
        <v>236</v>
      </c>
      <c r="I50" s="109" t="s">
        <v>236</v>
      </c>
      <c r="J50" s="109" t="s">
        <v>236</v>
      </c>
      <c r="K50" s="109" t="s">
        <v>237</v>
      </c>
      <c r="L50" s="109">
        <v>1</v>
      </c>
      <c r="M50" s="109">
        <v>31</v>
      </c>
      <c r="N50" s="110">
        <v>0</v>
      </c>
    </row>
    <row r="51" spans="2:14">
      <c r="B51" s="34">
        <v>2</v>
      </c>
      <c r="C51" s="11">
        <f t="shared" si="0"/>
        <v>2</v>
      </c>
      <c r="D51" s="112">
        <v>0.68181818181818099</v>
      </c>
      <c r="E51" s="112">
        <v>0.78947368421052599</v>
      </c>
      <c r="F51" s="112">
        <v>0</v>
      </c>
      <c r="G51" s="11" t="s">
        <v>236</v>
      </c>
      <c r="H51" s="11" t="s">
        <v>236</v>
      </c>
      <c r="I51" s="11" t="s">
        <v>236</v>
      </c>
      <c r="J51" s="11" t="s">
        <v>236</v>
      </c>
      <c r="K51" s="11" t="s">
        <v>238</v>
      </c>
      <c r="L51" s="11">
        <v>0</v>
      </c>
      <c r="M51" s="11">
        <v>29</v>
      </c>
      <c r="N51" s="14">
        <v>0</v>
      </c>
    </row>
    <row r="52" spans="2:14">
      <c r="B52" s="34">
        <v>3</v>
      </c>
      <c r="C52" s="11">
        <f t="shared" si="0"/>
        <v>3</v>
      </c>
      <c r="D52" s="112">
        <v>0.662337662337662</v>
      </c>
      <c r="E52" s="112">
        <v>0.46875</v>
      </c>
      <c r="F52" s="112">
        <v>0</v>
      </c>
      <c r="G52" s="11" t="s">
        <v>236</v>
      </c>
      <c r="H52" s="11" t="s">
        <v>236</v>
      </c>
      <c r="I52" s="11" t="s">
        <v>236</v>
      </c>
      <c r="J52" s="11" t="s">
        <v>236</v>
      </c>
      <c r="K52" s="11" t="s">
        <v>238</v>
      </c>
      <c r="L52" s="11">
        <v>0</v>
      </c>
      <c r="M52" s="11">
        <v>26</v>
      </c>
      <c r="N52" s="14">
        <v>0</v>
      </c>
    </row>
    <row r="53" spans="2:14">
      <c r="B53" s="34">
        <v>4</v>
      </c>
      <c r="C53" s="11">
        <f t="shared" si="0"/>
        <v>4</v>
      </c>
      <c r="D53" s="112">
        <v>0.73611111111111105</v>
      </c>
      <c r="E53" s="112">
        <v>0.67567567567567499</v>
      </c>
      <c r="F53" s="112">
        <v>0.26795999999999998</v>
      </c>
      <c r="G53" s="11" t="s">
        <v>236</v>
      </c>
      <c r="H53" s="11" t="s">
        <v>236</v>
      </c>
      <c r="I53" s="11" t="s">
        <v>236</v>
      </c>
      <c r="J53" s="11" t="s">
        <v>236</v>
      </c>
      <c r="K53" s="11" t="s">
        <v>221</v>
      </c>
      <c r="L53" s="11">
        <v>1</v>
      </c>
      <c r="M53" s="11">
        <v>17</v>
      </c>
      <c r="N53" s="14">
        <v>0</v>
      </c>
    </row>
    <row r="54" spans="2:14">
      <c r="B54" s="34">
        <v>5</v>
      </c>
      <c r="C54" s="11">
        <f t="shared" si="0"/>
        <v>5</v>
      </c>
      <c r="D54" s="112">
        <v>0.40277777777777701</v>
      </c>
      <c r="E54" s="112">
        <v>0.36111111111111099</v>
      </c>
      <c r="F54" s="112">
        <v>0</v>
      </c>
      <c r="G54" s="11" t="s">
        <v>236</v>
      </c>
      <c r="H54" s="11" t="s">
        <v>236</v>
      </c>
      <c r="I54" s="11" t="s">
        <v>236</v>
      </c>
      <c r="J54" s="11" t="s">
        <v>236</v>
      </c>
      <c r="K54" s="11" t="s">
        <v>238</v>
      </c>
      <c r="L54" s="11">
        <v>0</v>
      </c>
      <c r="M54" s="11">
        <v>26</v>
      </c>
      <c r="N54" s="14">
        <v>0</v>
      </c>
    </row>
    <row r="55" spans="2:14" ht="14.25" thickBot="1">
      <c r="B55" s="35">
        <v>6</v>
      </c>
      <c r="C55" s="15">
        <f t="shared" si="0"/>
        <v>6</v>
      </c>
      <c r="D55" s="113">
        <v>0.14285714285714199</v>
      </c>
      <c r="E55" s="113">
        <v>0.14285714285714199</v>
      </c>
      <c r="F55" s="113">
        <v>0</v>
      </c>
      <c r="G55" s="15" t="s">
        <v>236</v>
      </c>
      <c r="H55" s="15" t="s">
        <v>236</v>
      </c>
      <c r="I55" s="15" t="s">
        <v>236</v>
      </c>
      <c r="J55" s="15" t="s">
        <v>236</v>
      </c>
      <c r="K55" s="15" t="s">
        <v>238</v>
      </c>
      <c r="L55" s="15">
        <v>0</v>
      </c>
      <c r="M55" s="15">
        <v>12</v>
      </c>
      <c r="N55" s="16">
        <v>1</v>
      </c>
    </row>
    <row r="56" spans="2:14" ht="14.25" thickBot="1"/>
    <row r="57" spans="2:14" ht="27">
      <c r="B57" s="30" t="s">
        <v>239</v>
      </c>
      <c r="C57" s="31" t="s">
        <v>240</v>
      </c>
      <c r="D57" s="31" t="s">
        <v>241</v>
      </c>
      <c r="E57" s="31" t="s">
        <v>242</v>
      </c>
      <c r="F57" s="31" t="s">
        <v>243</v>
      </c>
      <c r="G57" s="31" t="s">
        <v>244</v>
      </c>
      <c r="H57" s="32" t="s">
        <v>245</v>
      </c>
    </row>
    <row r="58" spans="2:14">
      <c r="B58" s="34" t="s">
        <v>246</v>
      </c>
      <c r="C58" s="11">
        <f>INDEX(C50:C55, MATCH(MAX(M50:M55), M50:M55, 0))</f>
        <v>1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2・3・5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>6</v>
      </c>
      <c r="F58" s="11" t="str">
        <f>_xlfn.TEXTJOIN("",,_xlfn.TEXTSPLIT(D58,"・"))</f>
        <v>235</v>
      </c>
      <c r="G58" s="11" t="str">
        <f>IF(E58="", "", _xlfn.TEXTJOIN("",,_xlfn.TEXTSPLIT(E58,"・")))</f>
        <v>6</v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1-235-2354</v>
      </c>
    </row>
    <row r="59" spans="2:14" ht="14.25" thickBot="1">
      <c r="B59" s="35" t="s">
        <v>247</v>
      </c>
      <c r="C59" s="15" cm="1">
        <f t="array" ref="C59">INDEX(C50:C55,
   MATCH(
      LARGE(IF(C50:C55&lt;&gt;C58, M50:M55), 1),
      IF(C50:C55&lt;&gt;C58, M50:M55),
   0))</f>
        <v>2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1・3・5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>6</v>
      </c>
      <c r="F59" s="15" t="str">
        <f>_xlfn.TEXTJOIN("",,_xlfn.TEXTSPLIT(D59,"・"))</f>
        <v>135</v>
      </c>
      <c r="G59" s="15" t="str">
        <f>IF(E59="", "", _xlfn.TEXTJOIN("",,_xlfn.TEXTSPLIT(E59,"・")))</f>
        <v>6</v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2-135-1354</v>
      </c>
      <c r="J59" s="111"/>
    </row>
    <row r="66" spans="3:3">
      <c r="C66" s="111"/>
    </row>
    <row r="67" spans="3:3">
      <c r="C67" s="111"/>
    </row>
    <row r="68" spans="3:3">
      <c r="C68" s="111"/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C3" sqref="C3:C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46137</v>
      </c>
      <c r="D3" s="10" t="str">
        <f>E3&amp;E4&amp;E5</f>
        <v>20260425KRY06</v>
      </c>
      <c r="E3" s="9" t="str">
        <f>TEXT(C3,"yyyymmdd")</f>
        <v>20260425</v>
      </c>
    </row>
    <row r="4" spans="1:8">
      <c r="B4" s="6" t="s">
        <v>3</v>
      </c>
      <c r="C4" s="3" t="s">
        <v>37</v>
      </c>
      <c r="E4" s="1" t="str">
        <f>VLOOKUP(C4,非表示!D:E,2,FALSE)</f>
        <v>KRY</v>
      </c>
    </row>
    <row r="5" spans="1:8" ht="14.25" thickBot="1">
      <c r="B5" s="7" t="s">
        <v>2</v>
      </c>
      <c r="C5" s="4" t="s">
        <v>9</v>
      </c>
      <c r="E5" s="1" t="str">
        <f>C5</f>
        <v>06</v>
      </c>
    </row>
    <row r="7" spans="1:8" ht="14.25" thickBot="1">
      <c r="A7" s="1" t="s">
        <v>74</v>
      </c>
    </row>
    <row r="8" spans="1:8">
      <c r="B8" s="27" t="s">
        <v>66</v>
      </c>
      <c r="C8" s="21" t="str">
        <f>$D$3</f>
        <v>20260425KRY06</v>
      </c>
      <c r="D8" s="17" t="str">
        <f t="shared" ref="D8:H8" si="0">$D$3</f>
        <v>20260425KRY06</v>
      </c>
      <c r="E8" s="17" t="str">
        <f t="shared" si="0"/>
        <v>20260425KRY06</v>
      </c>
      <c r="F8" s="17" t="str">
        <f t="shared" si="0"/>
        <v>20260425KRY06</v>
      </c>
      <c r="G8" s="17" t="str">
        <f t="shared" si="0"/>
        <v>20260425KRY06</v>
      </c>
      <c r="H8" s="18" t="str">
        <f t="shared" si="0"/>
        <v>20260425KRY06</v>
      </c>
    </row>
    <row r="9" spans="1:8">
      <c r="B9" s="28" t="s">
        <v>67</v>
      </c>
      <c r="C9" s="22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28" t="s">
        <v>68</v>
      </c>
      <c r="C10" s="22">
        <f>C22</f>
        <v>4856</v>
      </c>
      <c r="D10" s="19">
        <f t="shared" ref="D10:H10" si="1">D22</f>
        <v>3659</v>
      </c>
      <c r="E10" s="19">
        <f t="shared" si="1"/>
        <v>5303</v>
      </c>
      <c r="F10" s="19">
        <f t="shared" si="1"/>
        <v>5137</v>
      </c>
      <c r="G10" s="19">
        <f t="shared" si="1"/>
        <v>4219</v>
      </c>
      <c r="H10" s="20">
        <f t="shared" si="1"/>
        <v>3943</v>
      </c>
    </row>
    <row r="11" spans="1:8">
      <c r="B11" s="28" t="s">
        <v>69</v>
      </c>
      <c r="C11" s="22">
        <f>C24</f>
        <v>6.7</v>
      </c>
      <c r="D11" s="19">
        <f t="shared" ref="D11:H11" si="2">D24</f>
        <v>6.71</v>
      </c>
      <c r="E11" s="19">
        <f t="shared" si="2"/>
        <v>6.91</v>
      </c>
      <c r="F11" s="19">
        <f t="shared" si="2"/>
        <v>6.76</v>
      </c>
      <c r="G11" s="19">
        <f t="shared" si="2"/>
        <v>6.77</v>
      </c>
      <c r="H11" s="20">
        <f t="shared" si="2"/>
        <v>6.89</v>
      </c>
    </row>
    <row r="12" spans="1:8">
      <c r="B12" s="28" t="s">
        <v>70</v>
      </c>
      <c r="C12" s="22">
        <f>VALUE(SUBSTITUTE(C25, "F", "-0"))</f>
        <v>18.22</v>
      </c>
      <c r="D12" s="19">
        <f t="shared" ref="D12:H12" si="3">VALUE(SUBSTITUTE(D25, "F", "-0"))</f>
        <v>18.28</v>
      </c>
      <c r="E12" s="19">
        <f t="shared" si="3"/>
        <v>18.55</v>
      </c>
      <c r="F12" s="19">
        <f t="shared" si="3"/>
        <v>18.420000000000002</v>
      </c>
      <c r="G12" s="19">
        <f t="shared" si="3"/>
        <v>18.47</v>
      </c>
      <c r="H12" s="20">
        <f t="shared" si="3"/>
        <v>18.93</v>
      </c>
    </row>
    <row r="13" spans="1:8">
      <c r="B13" s="28" t="s">
        <v>71</v>
      </c>
      <c r="C13" s="22">
        <f t="shared" ref="C13:H14" si="4">C26</f>
        <v>4.24</v>
      </c>
      <c r="D13" s="19">
        <f t="shared" si="4"/>
        <v>4.51</v>
      </c>
      <c r="E13" s="19">
        <f t="shared" si="4"/>
        <v>4.5</v>
      </c>
      <c r="F13" s="19">
        <f t="shared" si="4"/>
        <v>4.67</v>
      </c>
      <c r="G13" s="19">
        <f t="shared" si="4"/>
        <v>5.03</v>
      </c>
      <c r="H13" s="20">
        <f t="shared" si="4"/>
        <v>4.6399999999999997</v>
      </c>
    </row>
    <row r="14" spans="1:8">
      <c r="B14" s="28" t="s">
        <v>72</v>
      </c>
      <c r="C14" s="22">
        <f t="shared" si="4"/>
        <v>7.14</v>
      </c>
      <c r="D14" s="19">
        <f t="shared" si="4"/>
        <v>7.45</v>
      </c>
      <c r="E14" s="19">
        <f t="shared" si="4"/>
        <v>7.48</v>
      </c>
      <c r="F14" s="19">
        <f t="shared" si="4"/>
        <v>7.47</v>
      </c>
      <c r="G14" s="19">
        <f t="shared" si="4"/>
        <v>7.55</v>
      </c>
      <c r="H14" s="20">
        <f t="shared" si="4"/>
        <v>7.62</v>
      </c>
    </row>
    <row r="15" spans="1:8" ht="14.25" thickBot="1">
      <c r="B15" s="29" t="s">
        <v>73</v>
      </c>
      <c r="C15" s="23">
        <f>IF(LEFT(C28,1)="F", -VALUE(MID(C28,2,10)), VALUE(C28))</f>
        <v>0.16</v>
      </c>
      <c r="D15" s="23">
        <f t="shared" ref="D15:H15" si="5">IF(LEFT(D28,1)="F", -VALUE(MID(D28,2,10)), VALUE(D28))</f>
        <v>0.15</v>
      </c>
      <c r="E15" s="23">
        <f t="shared" si="5"/>
        <v>0.16</v>
      </c>
      <c r="F15" s="23">
        <f t="shared" si="5"/>
        <v>-0.05</v>
      </c>
      <c r="G15" s="23">
        <f t="shared" si="5"/>
        <v>0.01</v>
      </c>
      <c r="H15" s="23">
        <f t="shared" si="5"/>
        <v>7.0000000000000007E-2</v>
      </c>
    </row>
    <row r="21" spans="1:8" ht="14.25" thickBot="1">
      <c r="A21" s="1" t="s">
        <v>75</v>
      </c>
    </row>
    <row r="22" spans="1:8">
      <c r="B22" s="5" t="s">
        <v>82</v>
      </c>
      <c r="C22" s="24">
        <v>4856</v>
      </c>
      <c r="D22" s="12">
        <v>3659</v>
      </c>
      <c r="E22" s="12">
        <v>5303</v>
      </c>
      <c r="F22" s="12">
        <v>5137</v>
      </c>
      <c r="G22" s="12">
        <v>4219</v>
      </c>
      <c r="H22" s="13">
        <v>3943</v>
      </c>
    </row>
    <row r="23" spans="1:8">
      <c r="B23" s="6" t="s">
        <v>76</v>
      </c>
      <c r="C23" s="25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5">
        <v>6.7</v>
      </c>
      <c r="D24" s="11">
        <v>6.71</v>
      </c>
      <c r="E24" s="11">
        <v>6.91</v>
      </c>
      <c r="F24" s="11">
        <v>6.76</v>
      </c>
      <c r="G24" s="11">
        <v>6.77</v>
      </c>
      <c r="H24" s="14">
        <v>6.89</v>
      </c>
    </row>
    <row r="25" spans="1:8">
      <c r="B25" s="6" t="s">
        <v>79</v>
      </c>
      <c r="C25" s="25">
        <v>18.22</v>
      </c>
      <c r="D25" s="11">
        <v>18.28</v>
      </c>
      <c r="E25" s="11">
        <v>18.55</v>
      </c>
      <c r="F25" s="11">
        <v>18.420000000000002</v>
      </c>
      <c r="G25" s="11">
        <v>18.47</v>
      </c>
      <c r="H25" s="14">
        <v>18.93</v>
      </c>
    </row>
    <row r="26" spans="1:8">
      <c r="B26" s="6" t="s">
        <v>80</v>
      </c>
      <c r="C26" s="25">
        <v>4.24</v>
      </c>
      <c r="D26" s="11">
        <v>4.51</v>
      </c>
      <c r="E26" s="11">
        <v>4.5</v>
      </c>
      <c r="F26" s="11">
        <v>4.67</v>
      </c>
      <c r="G26" s="11">
        <v>5.03</v>
      </c>
      <c r="H26" s="14">
        <v>4.6399999999999997</v>
      </c>
    </row>
    <row r="27" spans="1:8">
      <c r="B27" s="6" t="s">
        <v>81</v>
      </c>
      <c r="C27" s="25">
        <v>7.14</v>
      </c>
      <c r="D27" s="11">
        <v>7.45</v>
      </c>
      <c r="E27" s="11">
        <v>7.48</v>
      </c>
      <c r="F27" s="11">
        <v>7.47</v>
      </c>
      <c r="G27" s="11">
        <v>7.55</v>
      </c>
      <c r="H27" s="14">
        <v>7.62</v>
      </c>
    </row>
    <row r="28" spans="1:8" ht="14.25" thickBot="1">
      <c r="B28" s="7" t="s">
        <v>78</v>
      </c>
      <c r="C28" s="26">
        <v>0.16</v>
      </c>
      <c r="D28" s="15">
        <v>0.15</v>
      </c>
      <c r="E28" s="15">
        <v>0.16</v>
      </c>
      <c r="F28" s="15" t="s">
        <v>269</v>
      </c>
      <c r="G28" s="15">
        <v>0.01</v>
      </c>
      <c r="H28" s="16">
        <v>7.0000000000000007E-2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2026-04-25T10:56:48Z</dcterms:modified>
</cp:coreProperties>
</file>