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0DFF0F58-8E56-4165-825E-1EBEA4CDA75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eta.XLOOKUP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9" i="3" l="1"/>
  <c r="Q69" i="3"/>
  <c r="R69" i="3"/>
  <c r="P70" i="3"/>
  <c r="Q70" i="3"/>
  <c r="R70" i="3"/>
  <c r="O70" i="3"/>
  <c r="O69" i="3"/>
  <c r="O68" i="3"/>
  <c r="P68" i="3"/>
  <c r="Q68" i="3"/>
  <c r="R68" i="3"/>
  <c r="P67" i="3"/>
  <c r="Q67" i="3"/>
  <c r="R67" i="3"/>
  <c r="O67" i="3"/>
  <c r="O66" i="3"/>
  <c r="P66" i="3"/>
  <c r="Q66" i="3"/>
  <c r="R66" i="3"/>
  <c r="P65" i="3"/>
  <c r="Q65" i="3"/>
  <c r="R65" i="3"/>
  <c r="O65" i="3"/>
  <c r="N65" i="3"/>
  <c r="N66" i="3"/>
  <c r="N67" i="3"/>
  <c r="N68" i="3"/>
  <c r="N69" i="3"/>
  <c r="N70" i="3"/>
  <c r="L66" i="3"/>
  <c r="M66" i="3" s="1"/>
  <c r="L67" i="3"/>
  <c r="L68" i="3"/>
  <c r="L69" i="3"/>
  <c r="L70" i="3"/>
  <c r="L65" i="3"/>
  <c r="M65" i="3" s="1"/>
  <c r="J66" i="3"/>
  <c r="K66" i="3"/>
  <c r="J67" i="3"/>
  <c r="M67" i="3" s="1"/>
  <c r="K67" i="3"/>
  <c r="J68" i="3"/>
  <c r="M68" i="3" s="1"/>
  <c r="K68" i="3"/>
  <c r="J69" i="3"/>
  <c r="M69" i="3" s="1"/>
  <c r="K69" i="3"/>
  <c r="J70" i="3"/>
  <c r="K70" i="3"/>
  <c r="K65" i="3"/>
  <c r="J65" i="3"/>
  <c r="L64" i="3"/>
  <c r="K64" i="3"/>
  <c r="J64" i="3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" i="2"/>
  <c r="D15" i="1"/>
  <c r="E15" i="1"/>
  <c r="F15" i="1"/>
  <c r="G15" i="1"/>
  <c r="H15" i="1"/>
  <c r="C15" i="1"/>
  <c r="C55" i="3"/>
  <c r="C54" i="3"/>
  <c r="C53" i="3"/>
  <c r="C52" i="3"/>
  <c r="C51" i="3"/>
  <c r="C58" i="3"/>
  <c r="C50" i="3"/>
  <c r="E5" i="3"/>
  <c r="E4" i="3"/>
  <c r="E3" i="3"/>
  <c r="M70" i="3" l="1"/>
  <c r="M71" i="3"/>
  <c r="D58" i="3" a="1"/>
  <c r="D58" i="3" s="1"/>
  <c r="F58" i="3" s="1"/>
  <c r="C59" i="3" a="1"/>
  <c r="C59" i="3" s="1"/>
  <c r="D3" i="3"/>
  <c r="D59" i="3" l="1" a="1"/>
  <c r="D59" i="3" s="1"/>
  <c r="E58" i="3" a="1"/>
  <c r="E58" i="3" s="1"/>
  <c r="D12" i="1"/>
  <c r="E12" i="1"/>
  <c r="F12" i="1"/>
  <c r="G12" i="1"/>
  <c r="H12" i="1"/>
  <c r="C12" i="1"/>
  <c r="G58" i="3" l="1"/>
  <c r="H58" i="3" s="1" a="1"/>
  <c r="H58" i="3" s="1"/>
  <c r="F59" i="3"/>
  <c r="E59" i="3" a="1"/>
  <c r="E59" i="3" s="1"/>
  <c r="D11" i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C13" i="1"/>
  <c r="C14" i="1"/>
  <c r="C11" i="1"/>
  <c r="D10" i="1"/>
  <c r="E10" i="1"/>
  <c r="F10" i="1"/>
  <c r="G10" i="1"/>
  <c r="H10" i="1"/>
  <c r="C10" i="1"/>
  <c r="E3" i="1"/>
  <c r="E5" i="1"/>
  <c r="E4" i="1"/>
  <c r="G59" i="3" l="1"/>
  <c r="H59" i="3" s="1" a="1"/>
  <c r="H59" i="3" s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<sst xmlns="http://schemas.openxmlformats.org/spreadsheetml/2006/main" count="630" uniqueCount="320">
  <si>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</si>
  <si>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</si>
  <si>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</si>
  <si>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</si>
  <si>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</si>
  <si>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</si>
  <si>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</si>
  <si>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</si>
  <si>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</si>
  <si>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</si>
  <si>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</si>
  <si>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</si>
  <si>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</si>
  <si>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</si>
  <si>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</si>
  <si>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</si>
  <si>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</si>
  <si>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</si>
  <si>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</si>
  <si>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</si>
  <si>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</si>
  <si>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</si>
  <si>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</si>
  <si>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</si>
  <si>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</si>
  <si>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</si>
  <si>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</si>
  <si>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</si>
  <si>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</si>
  <si>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</si>
  <si>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</si>
  <si>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</si>
  <si>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</si>
  <si>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</si>
  <si>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</si>
  <si>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</si>
  <si>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</si>
  <si>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</si>
  <si>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</si>
  <si>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</si>
  <si>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</si>
  <si>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</si>
  <si>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</si>
  <si>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</si>
  <si>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</si>
  <si>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</si>
  <si>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</si>
  <si>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</si>
  <si>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</si>
  <si>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</si>
  <si>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</si>
  <si>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</si>
  <si>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</si>
  <si>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</si>
  <si>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</si>
  <si>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</si>
  <si>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</si>
  <si>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</si>
  <si>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</si>
  <si>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</si>
  <si>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</si>
  <si>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</si>
  <si>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</si>
  <si>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</si>
  <si>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</si>
  <si>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</si>
  <si>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</si>
  <si>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</si>
  <si>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</si>
  <si>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</si>
  <si>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</si>
  <si>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</si>
  <si>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</si>
  <si>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</si>
  <si>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</si>
  <si>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</si>
  <si>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</si>
  <si>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</si>
  <si>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</si>
  <si>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</si>
  <si>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</si>
  <si>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</si>
  <si>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</si>
  <si>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</si>
  <si>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</si>
  <si>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</si>
  <si>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</si>
  <si>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</si>
  <si>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</si>
  <si>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</si>
  <si>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</si>
  <si>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</si>
  <si>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</si>
  <si>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</si>
  <si>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</si>
  <si>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</si>
  <si>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</si>
  <si>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</si>
  <si>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</si>
  <si>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</si>
  <si>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</si>
  <si>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</si>
  <si>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</si>
  <si>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</si>
  <si>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</si>
  <si>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</si>
  <si>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</si>
  <si>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</si>
  <si>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</si>
  <si>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</si>
  <si>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</si>
  <si>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</si>
  <si>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</si>
  <si>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</si>
  <si>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</si>
  <si>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</si>
  <si>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</si>
  <si>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</si>
  <si>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</si>
  <si>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</si>
  <si>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</si>
  <si>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</si>
  <si>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</si>
  <si>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</si>
  <si>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</si>
  <si>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</si>
  <si>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</si>
  <si>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</si>
  <si>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</si>
  <si>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</si>
  <si>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</si>
  <si>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</si>
  <si>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</si>
  <si>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</si>
  <si>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</si>
  <si>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</si>
  <si>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</si>
  <si>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</si>
  <si>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</si>
  <si>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</si>
  <si>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</si>
  <si>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</si>
  <si>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</si>
  <si>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</si>
  <si>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</si>
  <si>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</si>
  <si>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</si>
  <si>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</si>
  <si>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</si>
  <si>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</si>
  <si>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</si>
  <si>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</si>
  <si>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</si>
  <si>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</si>
  <si>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</si>
  <si>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</si>
  <si>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</si>
  <si>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</si>
  <si>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</si>
  <si>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</si>
  <si>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</si>
  <si>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</si>
  <si>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</si>
  <si>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</si>
  <si>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</si>
  <si>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</si>
  <si>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</si>
  <si>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</si>
  <si>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</si>
  <si>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</si>
  <si>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</si>
  <si>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</si>
  <si>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</si>
  <si>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</si>
  <si>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</si>
  <si>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</si>
  <si>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</si>
  <si>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</si>
  <si>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</si>
  <si>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</si>
  <si>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</si>
  <si>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</si>
  <si>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</si>
  <si>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</si>
  <si>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</si>
  <si>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</si>
  <si>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</si>
  <si>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</si>
  <si>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</si>
  <si>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</si>
  <si>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</si>
  <si>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</si>
  <si>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</si>
  <si>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</si>
  <si>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</si>
  <si>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</si>
  <si>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</si>
  <si>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</si>
  <si>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</si>
  <si>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</si>
  <si>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■展示情報</t>
    <rPh sb="1" eb="3">
      <t>テンジ</t>
    </rPh>
    <rPh sb="3" eb="5">
      <t>ジョウホウ</t>
    </rPh>
    <phoneticPr fontId="1"/>
  </si>
  <si>
    <t>■出走表情報</t>
    <rPh sb="1" eb="4">
      <t>シュッソウヒョウ</t>
    </rPh>
    <rPh sb="4" eb="6">
      <t>ジョウホウ</t>
    </rPh>
    <phoneticPr fontId="1"/>
  </si>
  <si>
    <t>×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</si>
  <si>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</si>
  <si>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</si>
  <si>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</si>
  <si>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</si>
  <si>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</si>
  <si>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</si>
  <si>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</si>
  <si>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</si>
  <si>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</si>
  <si>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</si>
  <si>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</si>
  <si>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</si>
  <si>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</si>
  <si>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</si>
  <si>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</si>
  <si>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</si>
  <si>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</si>
  <si>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差し型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</si>
  <si>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</si>
  <si>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</si>
  <si>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</si>
  <si>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</si>
  <si>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</si>
  <si>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</si>
  <si>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</si>
  <si>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</si>
  <si>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</si>
  <si>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</si>
  <si>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</si>
  <si>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</si>
  <si>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</si>
  <si>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</si>
  <si>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</si>
  <si>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逃げ型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</si>
  <si>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</si>
  <si>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</si>
  <si>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</si>
  <si>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</si>
  <si>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</si>
  <si>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</si>
  <si>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</si>
  <si>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</si>
  <si>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</si>
  <si>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</si>
  <si>
    <t>伸び型</t>
    <phoneticPr fontId="1"/>
  </si>
  <si>
    <t>ST</t>
    <phoneticPr fontId="1"/>
  </si>
  <si>
    <t>愛知</t>
    <phoneticPr fontId="1"/>
  </si>
  <si>
    <t>超伸び型</t>
    <phoneticPr fontId="1"/>
  </si>
  <si>
    <t>福岡</t>
    <phoneticPr fontId="1"/>
  </si>
  <si>
    <t>△</t>
    <phoneticPr fontId="1"/>
  </si>
  <si>
    <t>B2</t>
    <phoneticPr fontId="1"/>
  </si>
  <si>
    <t>F.05</t>
  </si>
  <si>
    <t>■サム理論</t>
    <rPh sb="3" eb="5">
      <t>リロン</t>
    </rPh>
    <phoneticPr fontId="1"/>
  </si>
  <si>
    <t>コース</t>
    <phoneticPr fontId="1"/>
  </si>
  <si>
    <t>区間</t>
    <phoneticPr fontId="1"/>
  </si>
  <si>
    <t>win</t>
    <phoneticPr fontId="1"/>
  </si>
  <si>
    <t>place2</t>
    <phoneticPr fontId="1"/>
  </si>
  <si>
    <t>place3</t>
    <phoneticPr fontId="1"/>
  </si>
  <si>
    <t>trio</t>
    <phoneticPr fontId="1"/>
  </si>
  <si>
    <t>-0.6未満</t>
    <phoneticPr fontId="1"/>
  </si>
  <si>
    <t>-0.6--0.4</t>
    <phoneticPr fontId="1"/>
  </si>
  <si>
    <t>-0.4--0.2</t>
    <phoneticPr fontId="1"/>
  </si>
  <si>
    <t>-0.2-0.0</t>
    <phoneticPr fontId="1"/>
  </si>
  <si>
    <t>0.0-0.2</t>
    <phoneticPr fontId="1"/>
  </si>
  <si>
    <t>0.2-0.4</t>
    <phoneticPr fontId="1"/>
  </si>
  <si>
    <t>0.4-0.6</t>
    <phoneticPr fontId="1"/>
  </si>
  <si>
    <t>0.6以上</t>
    <phoneticPr fontId="1"/>
  </si>
  <si>
    <t>三重</t>
    <phoneticPr fontId="1"/>
  </si>
  <si>
    <t>sam理論の内容</t>
    <rPh sb="3" eb="5">
      <t>リロン</t>
    </rPh>
    <rPh sb="6" eb="8">
      <t>ナイヨウ</t>
    </rPh>
    <phoneticPr fontId="1"/>
  </si>
  <si>
    <t>    "KRY": ["exhibition_time", "lap_time", "around_time"],</t>
  </si>
  <si>
    <t>    "TDA": ["exhibition_time", "lap_time", "around_time"],</t>
  </si>
  <si>
    <t>    "EDG": ["exhibition_time", "lap_time", "around_time"],</t>
  </si>
  <si>
    <t>    "HWJ": ["exhibition_time", "lap_time", "around_time"],</t>
  </si>
  <si>
    <t>    "TMG": ["exhibition_time", "lap_time", "straight_time"],</t>
  </si>
  <si>
    <t xml:space="preserve">    "HMN": ["exhibition_time", "lap_time", "straight_time"],   </t>
  </si>
  <si>
    <t xml:space="preserve">    "GMG": ["exhibition_time", "lap_time", "straight_time"],   </t>
  </si>
  <si>
    <t xml:space="preserve">    "TKN": ["exhibition_time", "lap_time", "straight_time"],   </t>
  </si>
  <si>
    <t xml:space="preserve">    "TSU": ["exhibition_time", "lap_time", "around_time"],     </t>
  </si>
  <si>
    <t xml:space="preserve">    "MKN": ["exhibition_time", "lap_time", "straight_time"],   </t>
  </si>
  <si>
    <t xml:space="preserve">    "BWK": ["exhibition_time", "lap_time", "around_time"],     </t>
  </si>
  <si>
    <t xml:space="preserve">    "SME": ["exhibition_time", "lap_time", "around_time"],     </t>
  </si>
  <si>
    <t xml:space="preserve">    "AMG": ["exhibition_time", "lap_time", "straight_time"],   </t>
  </si>
  <si>
    <t xml:space="preserve">    "NRT": ["exhibition_time", "lap_time", "straight_time"],   </t>
  </si>
  <si>
    <t xml:space="preserve">    "MRG": ["exhibition_time", "lap_time", "around_time"],     </t>
  </si>
  <si>
    <t xml:space="preserve">    "KJM": ["exhibition_time", "lap_time", "around_time"],     </t>
  </si>
  <si>
    <t xml:space="preserve">    "MYJ": ["exhibition_time", "lap_time", "around_time"],     </t>
  </si>
  <si>
    <t xml:space="preserve">    "TKY": ["exhibition_time", "lap_time", "straight_time"],   </t>
  </si>
  <si>
    <t xml:space="preserve">    "SMS": ["exhibition_time", "lap_time", "straight_time"],   </t>
  </si>
  <si>
    <t xml:space="preserve">    "WKM": ["exhibition_time", "lap_time", "straight_time"],   </t>
  </si>
  <si>
    <t xml:space="preserve">    "ASY": ["exhibition_time", "lap_time", "straight_time"],   </t>
  </si>
  <si>
    <t xml:space="preserve">    "FKO": ["exhibition_time", "lap_time", "around_time"],     </t>
  </si>
  <si>
    <t xml:space="preserve">    "KRT": ["exhibition_time", "lap_time", "around_time"],     </t>
  </si>
  <si>
    <t xml:space="preserve">    "OMR": ["exhibition_time", "lap_time", "straight_time"]   </t>
  </si>
  <si>
    <t>01</t>
  </si>
  <si>
    <t>中嶋誠一</t>
    <phoneticPr fontId="1"/>
  </si>
  <si>
    <t>長崎</t>
    <phoneticPr fontId="1"/>
  </si>
  <si>
    <t>石塚裕介</t>
    <phoneticPr fontId="1"/>
  </si>
  <si>
    <t>伊藤玲奈</t>
    <phoneticPr fontId="1"/>
  </si>
  <si>
    <t>大石真央</t>
    <phoneticPr fontId="1"/>
  </si>
  <si>
    <t>静岡</t>
    <phoneticPr fontId="1"/>
  </si>
  <si>
    <t>八戸琉楓</t>
    <phoneticPr fontId="1"/>
  </si>
  <si>
    <t>木幡純也</t>
    <phoneticPr fontId="1"/>
  </si>
  <si>
    <t xml:space="preserve">   </t>
  </si>
  <si>
    <t xml:space="preserve">     </t>
  </si>
  <si>
    <t>展示タイム</t>
    <phoneticPr fontId="1"/>
  </si>
  <si>
    <t>周回</t>
    <phoneticPr fontId="1"/>
  </si>
  <si>
    <t>周り足</t>
    <phoneticPr fontId="1"/>
  </si>
  <si>
    <t>直線</t>
    <phoneticPr fontId="1"/>
  </si>
  <si>
    <t xml:space="preserve">直線   </t>
  </si>
  <si>
    <t>展示情報</t>
    <rPh sb="0" eb="4">
      <t>テンジジョウホウ</t>
    </rPh>
    <phoneticPr fontId="1"/>
  </si>
  <si>
    <t>合計</t>
    <rPh sb="0" eb="2">
      <t>ゴウケイ</t>
    </rPh>
    <phoneticPr fontId="1"/>
  </si>
  <si>
    <t>1着率</t>
    <rPh sb="1" eb="3">
      <t>チャクリツ</t>
    </rPh>
    <phoneticPr fontId="1"/>
  </si>
  <si>
    <t>2着率</t>
    <rPh sb="1" eb="3">
      <t>チャクリツ</t>
    </rPh>
    <phoneticPr fontId="1"/>
  </si>
  <si>
    <t>3着率</t>
    <rPh sb="1" eb="3">
      <t>チャクリツ</t>
    </rPh>
    <phoneticPr fontId="1"/>
  </si>
  <si>
    <t>3連対率</t>
    <rPh sb="1" eb="3">
      <t>レンタイ</t>
    </rPh>
    <rPh sb="3" eb="4">
      <t>リツ</t>
    </rPh>
    <phoneticPr fontId="1"/>
  </si>
  <si>
    <t>平均差</t>
    <rPh sb="0" eb="2">
      <t>ヘイキン</t>
    </rPh>
    <rPh sb="2" eb="3">
      <t>サ</t>
    </rPh>
    <phoneticPr fontId="1"/>
  </si>
  <si>
    <t>平均</t>
    <rPh sb="0" eb="2">
      <t>ヘイキン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</si>
</sst>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theme="0"/>
      <name val="ＭＳ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57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52" xfId="1" applyNumberFormat="1" applyFont="1" applyBorder="1" applyAlignment="1"/>
    <xf numFmtId="9" fontId="2" fillId="0" borderId="38" xfId="1" applyFont="1" applyBorder="1" applyAlignment="1">
      <alignment wrapText="1"/>
    </xf>
    <xf numFmtId="9" fontId="2" fillId="0" borderId="8" xfId="1" applyFont="1" applyBorder="1" applyAlignment="1"/>
    <xf numFmtId="177" fontId="2" fillId="0" borderId="8" xfId="0" applyNumberFormat="1" applyFont="1" applyBorder="1"/>
    <xf numFmtId="0" fontId="2" fillId="2" borderId="8" xfId="0" applyFont="1" applyFill="1" applyBorder="1"/>
    <xf numFmtId="9" fontId="2" fillId="2" borderId="8" xfId="1" applyFont="1" applyFill="1" applyBorder="1" applyAlignment="1"/>
    <xf numFmtId="0" fontId="2" fillId="3" borderId="8" xfId="0" applyFont="1" applyFill="1" applyBorder="1"/>
    <xf numFmtId="9" fontId="2" fillId="3" borderId="8" xfId="1" applyFont="1" applyFill="1" applyBorder="1" applyAlignment="1"/>
    <xf numFmtId="0" fontId="2" fillId="5" borderId="8" xfId="0" applyFont="1" applyFill="1" applyBorder="1"/>
    <xf numFmtId="9" fontId="2" fillId="5" borderId="8" xfId="1" applyFont="1" applyFill="1" applyBorder="1" applyAlignment="1"/>
    <xf numFmtId="0" fontId="2" fillId="6" borderId="8" xfId="0" applyFont="1" applyFill="1" applyBorder="1"/>
    <xf numFmtId="9" fontId="2" fillId="6" borderId="8" xfId="1" applyFont="1" applyFill="1" applyBorder="1" applyAlignment="1"/>
    <xf numFmtId="0" fontId="2" fillId="4" borderId="8" xfId="0" applyFont="1" applyFill="1" applyBorder="1"/>
    <xf numFmtId="9" fontId="2" fillId="4" borderId="8" xfId="1" applyFont="1" applyFill="1" applyBorder="1" applyAlignment="1"/>
    <xf numFmtId="9" fontId="2" fillId="0" borderId="11" xfId="1" applyFont="1" applyBorder="1" applyAlignment="1"/>
    <xf numFmtId="0" fontId="2" fillId="2" borderId="18" xfId="0" applyFont="1" applyFill="1" applyBorder="1"/>
    <xf numFmtId="9" fontId="2" fillId="2" borderId="11" xfId="1" applyFont="1" applyFill="1" applyBorder="1" applyAlignment="1"/>
    <xf numFmtId="0" fontId="2" fillId="3" borderId="18" xfId="0" applyFont="1" applyFill="1" applyBorder="1"/>
    <xf numFmtId="9" fontId="2" fillId="3" borderId="11" xfId="1" applyFont="1" applyFill="1" applyBorder="1" applyAlignment="1"/>
    <xf numFmtId="0" fontId="2" fillId="4" borderId="18" xfId="0" applyFont="1" applyFill="1" applyBorder="1"/>
    <xf numFmtId="9" fontId="2" fillId="4" borderId="11" xfId="1" applyFont="1" applyFill="1" applyBorder="1" applyAlignment="1"/>
    <xf numFmtId="0" fontId="2" fillId="5" borderId="18" xfId="0" applyFont="1" applyFill="1" applyBorder="1"/>
    <xf numFmtId="9" fontId="2" fillId="5" borderId="11" xfId="1" applyFont="1" applyFill="1" applyBorder="1" applyAlignment="1"/>
    <xf numFmtId="0" fontId="2" fillId="6" borderId="18" xfId="0" applyFont="1" applyFill="1" applyBorder="1"/>
    <xf numFmtId="9" fontId="2" fillId="6" borderId="11" xfId="1" applyFont="1" applyFill="1" applyBorder="1" applyAlignment="1"/>
    <xf numFmtId="0" fontId="2" fillId="6" borderId="19" xfId="0" applyFont="1" applyFill="1" applyBorder="1"/>
    <xf numFmtId="0" fontId="2" fillId="6" borderId="12" xfId="0" applyFont="1" applyFill="1" applyBorder="1"/>
    <xf numFmtId="9" fontId="2" fillId="6" borderId="12" xfId="1" applyFont="1" applyFill="1" applyBorder="1" applyAlignment="1"/>
    <xf numFmtId="9" fontId="2" fillId="6" borderId="13" xfId="1" applyFont="1" applyFill="1" applyBorder="1" applyAlignment="1"/>
    <xf numFmtId="9" fontId="2" fillId="0" borderId="52" xfId="1" applyFont="1" applyBorder="1" applyAlignment="1"/>
    <xf numFmtId="9" fontId="2" fillId="0" borderId="53" xfId="1" applyFont="1" applyBorder="1" applyAlignment="1"/>
    <xf numFmtId="0" fontId="2" fillId="7" borderId="54" xfId="0" applyFont="1" applyFill="1" applyBorder="1"/>
    <xf numFmtId="0" fontId="2" fillId="8" borderId="23" xfId="0" applyFont="1" applyFill="1" applyBorder="1"/>
    <xf numFmtId="0" fontId="2" fillId="8" borderId="0" xfId="0" applyFont="1" applyFill="1"/>
    <xf numFmtId="9" fontId="2" fillId="8" borderId="0" xfId="1" applyFont="1" applyFill="1" applyBorder="1" applyAlignment="1"/>
    <xf numFmtId="9" fontId="2" fillId="8" borderId="24" xfId="1" applyFont="1" applyFill="1" applyBorder="1" applyAlignment="1"/>
    <xf numFmtId="0" fontId="2" fillId="0" borderId="55" xfId="0" applyFont="1" applyBorder="1"/>
    <xf numFmtId="0" fontId="2" fillId="0" borderId="56" xfId="0" applyFont="1" applyBorder="1"/>
    <xf numFmtId="0" fontId="2" fillId="7" borderId="17" xfId="0" applyFont="1" applyFill="1" applyBorder="1"/>
    <xf numFmtId="0" fontId="2" fillId="7" borderId="9" xfId="0" applyFont="1" applyFill="1" applyBorder="1"/>
    <xf numFmtId="0" fontId="2" fillId="7" borderId="10" xfId="0" applyFont="1" applyFill="1" applyBorder="1"/>
    <xf numFmtId="0" fontId="5" fillId="0" borderId="0" xfId="0" applyFont="1"/>
    <xf numFmtId="0" fontId="5" fillId="0" borderId="0" xfId="0" quotePrefix="1" applyFont="1"/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  <xdr:twoCellAnchor>
    <xdr:from>
      <xdr:col>1</xdr:col>
      <xdr:colOff>866775</xdr:colOff>
      <xdr:row>61</xdr:row>
      <xdr:rowOff>0</xdr:rowOff>
    </xdr:from>
    <xdr:to>
      <xdr:col>3</xdr:col>
      <xdr:colOff>657225</xdr:colOff>
      <xdr:row>62</xdr:row>
      <xdr:rowOff>57150</xdr:rowOff>
    </xdr:to>
    <xdr:sp macro="[0]!LoadSamAll" textlink="">
      <xdr:nvSpPr>
        <xdr:cNvPr id="6" name="正方形/長方形 5">
          <a:extLst>
            <a:ext uri="{FF2B5EF4-FFF2-40B4-BE49-F238E27FC236}">
              <a16:creationId xmlns:a16="http://schemas.microsoft.com/office/drawing/2014/main" id="{331981AF-8505-D415-B9F3-191FE8C62BB2}"/>
            </a:ext>
          </a:extLst>
        </xdr:cNvPr>
        <xdr:cNvSpPr/>
      </xdr:nvSpPr>
      <xdr:spPr>
        <a:xfrm>
          <a:off x="1228725" y="117062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kumimoji="1" sz="16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33" customFormat="1" ht="27">
      <c r="A1" s="30" t="s">
        <v>83</v>
      </c>
      <c r="B1" s="31" t="s">
        <v>84</v>
      </c>
      <c r="C1" s="31" t="s">
        <v>85</v>
      </c>
      <c r="D1" s="31" t="s">
        <v>86</v>
      </c>
      <c r="E1" s="31" t="s">
        <v>87</v>
      </c>
      <c r="F1" s="31" t="s">
        <v>88</v>
      </c>
      <c r="G1" s="31" t="s">
        <v>78</v>
      </c>
      <c r="H1" s="31" t="s">
        <v>89</v>
      </c>
      <c r="I1" s="31" t="s">
        <v>90</v>
      </c>
      <c r="J1" s="31" t="s">
        <v>91</v>
      </c>
      <c r="K1" s="31" t="s">
        <v>92</v>
      </c>
      <c r="L1" s="31" t="s">
        <v>93</v>
      </c>
      <c r="M1" s="31" t="s">
        <v>94</v>
      </c>
      <c r="N1" s="31" t="s">
        <v>95</v>
      </c>
      <c r="O1" s="31" t="s">
        <v>96</v>
      </c>
      <c r="P1" s="31" t="s">
        <v>97</v>
      </c>
      <c r="Q1" s="31" t="s">
        <v>98</v>
      </c>
      <c r="R1" s="31" t="s">
        <v>99</v>
      </c>
      <c r="S1" s="31" t="s">
        <v>100</v>
      </c>
      <c r="T1" s="32" t="s">
        <v>101</v>
      </c>
    </row>
    <row r="2" spans="1:20">
      <c r="A2" s="34">
        <v>1</v>
      </c>
      <c r="B2" s="11" t="s">
        <v>102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103</v>
      </c>
      <c r="I2" s="11" t="s">
        <v>104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4" t="e">
        <v>#REF!</v>
      </c>
    </row>
    <row r="3" spans="1:20">
      <c r="A3" s="34">
        <v>2</v>
      </c>
      <c r="B3" s="11" t="s">
        <v>105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106</v>
      </c>
      <c r="I3" s="11" t="s">
        <v>104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4" t="e">
        <v>#REF!</v>
      </c>
    </row>
    <row r="4" spans="1:20">
      <c r="A4" s="34">
        <v>3</v>
      </c>
      <c r="B4" s="11" t="s">
        <v>107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103</v>
      </c>
      <c r="I4" s="11" t="s">
        <v>104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4" t="e">
        <v>#REF!</v>
      </c>
    </row>
    <row r="5" spans="1:20">
      <c r="A5" s="34">
        <v>4</v>
      </c>
      <c r="B5" s="11" t="s">
        <v>108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103</v>
      </c>
      <c r="I5" s="11" t="s">
        <v>104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4" t="e">
        <v>#REF!</v>
      </c>
    </row>
    <row r="6" spans="1:20">
      <c r="A6" s="34">
        <v>5</v>
      </c>
      <c r="B6" s="11" t="s">
        <v>109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103</v>
      </c>
      <c r="I6" s="11" t="s">
        <v>104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4" t="e">
        <v>#REF!</v>
      </c>
    </row>
    <row r="7" spans="1:20" ht="14.25" thickBot="1">
      <c r="A7" s="35">
        <v>6</v>
      </c>
      <c r="B7" s="15" t="s">
        <v>110</v>
      </c>
      <c r="C7" s="15">
        <v>6.22</v>
      </c>
      <c r="D7" s="15">
        <v>5.57</v>
      </c>
      <c r="E7" s="15">
        <v>41.58</v>
      </c>
      <c r="F7" s="15">
        <v>45.05</v>
      </c>
      <c r="G7" s="15">
        <v>0.15</v>
      </c>
      <c r="H7" s="15" t="s">
        <v>106</v>
      </c>
      <c r="I7" s="15" t="s">
        <v>104</v>
      </c>
      <c r="J7" s="15">
        <v>7.4639999999999995</v>
      </c>
      <c r="K7" s="15">
        <v>3.1400000000000006</v>
      </c>
      <c r="L7" s="15">
        <v>4.1449999999999996</v>
      </c>
      <c r="M7" s="15">
        <v>5</v>
      </c>
      <c r="N7" s="15">
        <v>3.5</v>
      </c>
      <c r="O7" s="15">
        <v>10.603999999999999</v>
      </c>
      <c r="P7" s="15">
        <v>9.1449999999999996</v>
      </c>
      <c r="Q7" s="15">
        <v>3.5</v>
      </c>
      <c r="R7" s="15" t="e">
        <v>#REF!</v>
      </c>
      <c r="S7" s="15" t="e">
        <v>#REF!</v>
      </c>
      <c r="T7" s="16" t="e">
        <v>#REF!</v>
      </c>
    </row>
    <row r="9" spans="1:20">
      <c r="A9" s="1" t="s">
        <v>111</v>
      </c>
    </row>
    <row r="10" spans="1:20">
      <c r="A10" s="1" t="s">
        <v>83</v>
      </c>
      <c r="B10" s="1" t="s">
        <v>112</v>
      </c>
      <c r="C10" s="1" t="s">
        <v>113</v>
      </c>
    </row>
    <row r="11" spans="1:20">
      <c r="A11" s="1" t="s">
        <v>84</v>
      </c>
      <c r="B11" s="1" t="s">
        <v>112</v>
      </c>
      <c r="C11" s="1" t="s">
        <v>114</v>
      </c>
    </row>
    <row r="12" spans="1:20">
      <c r="A12" s="1" t="s">
        <v>85</v>
      </c>
      <c r="B12" s="1" t="s">
        <v>115</v>
      </c>
      <c r="C12" s="36" t="s">
        <v>116</v>
      </c>
    </row>
    <row r="13" spans="1:20">
      <c r="A13" s="1" t="s">
        <v>86</v>
      </c>
      <c r="B13" s="1" t="s">
        <v>115</v>
      </c>
      <c r="C13" s="36" t="s">
        <v>117</v>
      </c>
    </row>
    <row r="14" spans="1:20">
      <c r="A14" s="1" t="s">
        <v>87</v>
      </c>
      <c r="B14" s="36" t="s">
        <v>118</v>
      </c>
      <c r="C14" s="36" t="s">
        <v>119</v>
      </c>
    </row>
    <row r="15" spans="1:20">
      <c r="A15" s="1" t="s">
        <v>88</v>
      </c>
      <c r="B15" s="36" t="s">
        <v>118</v>
      </c>
      <c r="C15" s="36" t="s">
        <v>120</v>
      </c>
    </row>
    <row r="16" spans="1:20">
      <c r="A16" s="1" t="s">
        <v>78</v>
      </c>
      <c r="B16" s="1" t="s">
        <v>121</v>
      </c>
      <c r="C16" s="1" t="s">
        <v>122</v>
      </c>
      <c r="D16" s="36" t="s">
        <v>123</v>
      </c>
    </row>
    <row r="17" spans="1:4">
      <c r="A17" s="1" t="s">
        <v>124</v>
      </c>
      <c r="B17" s="1" t="s">
        <v>125</v>
      </c>
      <c r="C17" s="1" t="s">
        <v>125</v>
      </c>
      <c r="D17" s="1" t="s">
        <v>126</v>
      </c>
    </row>
    <row r="18" spans="1:4">
      <c r="A18" s="1" t="s">
        <v>127</v>
      </c>
      <c r="B18" s="1" t="s">
        <v>125</v>
      </c>
      <c r="C18" s="1" t="s">
        <v>125</v>
      </c>
      <c r="D18" s="1" t="s">
        <v>128</v>
      </c>
    </row>
    <row r="19" spans="1:4">
      <c r="A19" s="1" t="s">
        <v>89</v>
      </c>
      <c r="B19" s="1" t="s">
        <v>121</v>
      </c>
      <c r="C19" s="1" t="s">
        <v>129</v>
      </c>
      <c r="D19" s="36" t="s">
        <v>123</v>
      </c>
    </row>
    <row r="20" spans="1:4">
      <c r="A20" s="1" t="s">
        <v>90</v>
      </c>
      <c r="B20" s="1" t="s">
        <v>121</v>
      </c>
      <c r="C20" s="1" t="s">
        <v>130</v>
      </c>
      <c r="D20" s="36" t="s">
        <v>123</v>
      </c>
    </row>
    <row r="21" spans="1:4">
      <c r="A21" s="1" t="s">
        <v>91</v>
      </c>
      <c r="B21" s="1" t="s">
        <v>131</v>
      </c>
    </row>
    <row r="22" spans="1:4">
      <c r="A22" s="1" t="s">
        <v>92</v>
      </c>
      <c r="B22" s="1" t="s">
        <v>131</v>
      </c>
    </row>
    <row r="23" spans="1:4">
      <c r="A23" s="1" t="s">
        <v>93</v>
      </c>
      <c r="B23" s="1" t="s">
        <v>131</v>
      </c>
    </row>
    <row r="24" spans="1:4">
      <c r="A24" s="1" t="s">
        <v>94</v>
      </c>
      <c r="B24" s="1" t="s">
        <v>131</v>
      </c>
    </row>
    <row r="25" spans="1:4">
      <c r="A25" s="1" t="s">
        <v>95</v>
      </c>
      <c r="B25" s="1" t="s">
        <v>131</v>
      </c>
    </row>
    <row r="26" spans="1:4">
      <c r="A26" s="1" t="s">
        <v>96</v>
      </c>
      <c r="B26" s="1" t="s">
        <v>131</v>
      </c>
    </row>
    <row r="27" spans="1:4">
      <c r="A27" s="1" t="s">
        <v>97</v>
      </c>
      <c r="B27" s="1" t="s">
        <v>131</v>
      </c>
    </row>
    <row r="28" spans="1:4">
      <c r="A28" s="1" t="s">
        <v>98</v>
      </c>
      <c r="B28" s="1" t="s">
        <v>131</v>
      </c>
    </row>
    <row r="29" spans="1:4">
      <c r="A29" s="1" t="s">
        <v>132</v>
      </c>
      <c r="B29" s="1" t="s">
        <v>131</v>
      </c>
      <c r="D29" s="1" t="s">
        <v>126</v>
      </c>
    </row>
    <row r="30" spans="1:4">
      <c r="A30" s="1" t="s">
        <v>133</v>
      </c>
      <c r="B30" s="1" t="s">
        <v>131</v>
      </c>
      <c r="D30" s="1" t="s">
        <v>126</v>
      </c>
    </row>
    <row r="31" spans="1:4">
      <c r="A31" s="1" t="s">
        <v>99</v>
      </c>
      <c r="B31" s="1" t="s">
        <v>131</v>
      </c>
    </row>
    <row r="32" spans="1:4">
      <c r="A32" s="1" t="s">
        <v>100</v>
      </c>
      <c r="B32" s="1" t="s">
        <v>131</v>
      </c>
    </row>
    <row r="33" spans="1:2">
      <c r="A33" s="1" t="s">
        <v>101</v>
      </c>
      <c r="B33" s="1" t="s">
        <v>131</v>
      </c>
    </row>
    <row r="110" spans="1:25">
      <c r="A110" s="1" t="s">
        <v>134</v>
      </c>
    </row>
    <row r="111" spans="1:25" ht="14.25" thickBot="1"/>
    <row r="112" spans="1:25">
      <c r="A112" s="37" t="s">
        <v>135</v>
      </c>
      <c r="B112" s="38" t="s">
        <v>136</v>
      </c>
      <c r="C112" s="38"/>
      <c r="D112" s="38"/>
      <c r="E112" s="38" t="s">
        <v>137</v>
      </c>
      <c r="F112" s="38" t="s">
        <v>138</v>
      </c>
      <c r="G112" s="38" t="s">
        <v>87</v>
      </c>
      <c r="H112" s="38" t="s">
        <v>88</v>
      </c>
      <c r="I112" s="38"/>
      <c r="J112" s="38" t="s">
        <v>139</v>
      </c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 t="s">
        <v>140</v>
      </c>
      <c r="Y112" s="39"/>
    </row>
    <row r="113" spans="1:25">
      <c r="A113" s="40"/>
      <c r="J113" s="1" t="s">
        <v>141</v>
      </c>
      <c r="Y113" s="41"/>
    </row>
    <row r="114" spans="1:25">
      <c r="A114" s="40"/>
      <c r="J114" s="1" t="s">
        <v>142</v>
      </c>
      <c r="Y114" s="41"/>
    </row>
    <row r="115" spans="1:25">
      <c r="A115" s="40"/>
      <c r="B115" s="1" t="s">
        <v>143</v>
      </c>
      <c r="C115" s="1" t="s">
        <v>144</v>
      </c>
      <c r="D115" s="1" t="s">
        <v>145</v>
      </c>
      <c r="E115" s="1" t="s">
        <v>85</v>
      </c>
      <c r="F115" s="1" t="s">
        <v>85</v>
      </c>
      <c r="G115" s="1" t="s">
        <v>146</v>
      </c>
      <c r="H115" s="1" t="s">
        <v>146</v>
      </c>
      <c r="J115" s="1" t="s">
        <v>147</v>
      </c>
      <c r="Y115" s="41"/>
    </row>
    <row r="116" spans="1:25">
      <c r="A116" s="40"/>
      <c r="C116" s="1" t="s">
        <v>148</v>
      </c>
      <c r="D116" s="1" t="s">
        <v>149</v>
      </c>
      <c r="E116" s="1" t="s">
        <v>150</v>
      </c>
      <c r="F116" s="1" t="s">
        <v>150</v>
      </c>
      <c r="G116" s="1" t="s">
        <v>150</v>
      </c>
      <c r="H116" s="1" t="s">
        <v>150</v>
      </c>
      <c r="Y116" s="41"/>
    </row>
    <row r="117" spans="1:25">
      <c r="A117" s="40"/>
      <c r="C117" s="1" t="s">
        <v>151</v>
      </c>
      <c r="D117" s="1" t="s">
        <v>152</v>
      </c>
      <c r="E117" s="1" t="s">
        <v>153</v>
      </c>
      <c r="F117" s="1" t="s">
        <v>153</v>
      </c>
      <c r="G117" s="1" t="s">
        <v>153</v>
      </c>
      <c r="H117" s="1" t="s">
        <v>153</v>
      </c>
      <c r="Y117" s="41"/>
    </row>
    <row r="118" spans="1:25">
      <c r="A118" s="40"/>
      <c r="C118" s="1" t="s">
        <v>154</v>
      </c>
      <c r="J118" s="1" t="s">
        <v>155</v>
      </c>
      <c r="L118" s="1" t="s">
        <v>156</v>
      </c>
      <c r="N118" s="1" t="s">
        <v>157</v>
      </c>
      <c r="P118" s="1" t="s">
        <v>158</v>
      </c>
      <c r="R118" s="1" t="s">
        <v>159</v>
      </c>
      <c r="T118" s="1" t="s">
        <v>160</v>
      </c>
      <c r="Y118" s="41"/>
    </row>
    <row r="119" spans="1:25">
      <c r="A119" s="40">
        <v>1</v>
      </c>
      <c r="C119" s="1" t="s">
        <v>161</v>
      </c>
      <c r="D119" s="1" t="s">
        <v>162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41"/>
    </row>
    <row r="120" spans="1:25">
      <c r="A120" s="40"/>
      <c r="C120" s="1" t="s">
        <v>163</v>
      </c>
      <c r="D120" s="1" t="s">
        <v>164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41"/>
    </row>
    <row r="121" spans="1:25">
      <c r="A121" s="40"/>
      <c r="C121" s="1" t="s">
        <v>165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41"/>
    </row>
    <row r="122" spans="1:25">
      <c r="A122" s="40"/>
      <c r="C122" s="1" t="s">
        <v>166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41"/>
    </row>
    <row r="123" spans="1:25">
      <c r="A123" s="40">
        <v>2</v>
      </c>
      <c r="C123" s="1" t="s">
        <v>167</v>
      </c>
      <c r="D123" s="1" t="s">
        <v>162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41"/>
    </row>
    <row r="124" spans="1:25">
      <c r="A124" s="40"/>
      <c r="C124" s="1" t="s">
        <v>168</v>
      </c>
      <c r="D124" s="1" t="s">
        <v>164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41"/>
    </row>
    <row r="125" spans="1:25">
      <c r="A125" s="40"/>
      <c r="C125" s="1" t="s">
        <v>165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41"/>
    </row>
    <row r="126" spans="1:25">
      <c r="A126" s="40"/>
      <c r="C126" s="1" t="s">
        <v>169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41"/>
    </row>
    <row r="127" spans="1:25">
      <c r="A127" s="40">
        <v>3</v>
      </c>
      <c r="C127" s="1" t="s">
        <v>170</v>
      </c>
      <c r="D127" s="1" t="s">
        <v>162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41"/>
    </row>
    <row r="128" spans="1:25">
      <c r="A128" s="40"/>
      <c r="C128" s="1" t="s">
        <v>171</v>
      </c>
      <c r="D128" s="1" t="s">
        <v>164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41"/>
    </row>
    <row r="129" spans="1:25">
      <c r="A129" s="40"/>
      <c r="C129" s="1" t="s">
        <v>172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41"/>
    </row>
    <row r="130" spans="1:25">
      <c r="A130" s="40"/>
      <c r="C130" s="1" t="s">
        <v>173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41"/>
    </row>
    <row r="131" spans="1:25">
      <c r="A131" s="40">
        <v>4</v>
      </c>
      <c r="C131" s="1" t="s">
        <v>174</v>
      </c>
      <c r="D131" s="1" t="s">
        <v>162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41"/>
    </row>
    <row r="132" spans="1:25">
      <c r="A132" s="40"/>
      <c r="C132" s="1" t="s">
        <v>175</v>
      </c>
      <c r="D132" s="1" t="s">
        <v>164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41"/>
    </row>
    <row r="133" spans="1:25">
      <c r="A133" s="40"/>
      <c r="C133" s="1" t="s">
        <v>165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41"/>
    </row>
    <row r="134" spans="1:25">
      <c r="A134" s="40"/>
      <c r="C134" s="1" t="s">
        <v>176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41"/>
    </row>
    <row r="135" spans="1:25">
      <c r="A135" s="40">
        <v>5</v>
      </c>
      <c r="C135" s="1" t="s">
        <v>177</v>
      </c>
      <c r="D135" s="1" t="s">
        <v>162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41"/>
    </row>
    <row r="136" spans="1:25">
      <c r="A136" s="40"/>
      <c r="C136" s="1" t="s">
        <v>178</v>
      </c>
      <c r="D136" s="1" t="s">
        <v>164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41"/>
    </row>
    <row r="137" spans="1:25">
      <c r="A137" s="40"/>
      <c r="C137" s="1" t="s">
        <v>179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41"/>
    </row>
    <row r="138" spans="1:25">
      <c r="A138" s="40"/>
      <c r="C138" s="1" t="s">
        <v>180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41"/>
    </row>
    <row r="139" spans="1:25">
      <c r="A139" s="40">
        <v>6</v>
      </c>
      <c r="C139" s="1" t="s">
        <v>181</v>
      </c>
      <c r="D139" s="1" t="s">
        <v>162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41"/>
    </row>
    <row r="140" spans="1:25">
      <c r="A140" s="40"/>
      <c r="C140" s="1" t="s">
        <v>182</v>
      </c>
      <c r="D140" s="1" t="s">
        <v>164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41"/>
    </row>
    <row r="141" spans="1:25">
      <c r="A141" s="40"/>
      <c r="C141" s="1" t="s">
        <v>165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41"/>
    </row>
    <row r="142" spans="1:25">
      <c r="A142" s="40"/>
      <c r="C142" s="1" t="s">
        <v>183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41"/>
    </row>
    <row r="143" spans="1:25" ht="14.25" thickBot="1">
      <c r="A143" s="42" t="s">
        <v>184</v>
      </c>
      <c r="B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4"/>
    </row>
    <row r="144" spans="1:25">
      <c r="A144" s="1" t="s">
        <v>185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117"/>
  <sheetViews>
    <sheetView tabSelected="1" topLeftCell="A64" workbookViewId="0">
      <selection activeCell="N64" sqref="N64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11.75" style="1" customWidth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46138</v>
      </c>
      <c r="D3" s="10" t="str">
        <f>E3&amp;E4&amp;E5</f>
        <v>20260426OMR01</v>
      </c>
      <c r="E3" s="9" t="str">
        <f>TEXT(C3,"yyyymmdd")</f>
        <v>20260426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296</v>
      </c>
      <c r="E5" s="1" t="str">
        <f>C5</f>
        <v>01</v>
      </c>
    </row>
    <row r="7" spans="1:21" ht="14.25" thickBot="1">
      <c r="A7" s="1" t="s">
        <v>201</v>
      </c>
    </row>
    <row r="8" spans="1:21" ht="27.75" thickBot="1">
      <c r="B8" s="54" t="s">
        <v>83</v>
      </c>
      <c r="C8" s="55" t="s">
        <v>84</v>
      </c>
      <c r="D8" s="55" t="s">
        <v>85</v>
      </c>
      <c r="E8" s="55" t="s">
        <v>86</v>
      </c>
      <c r="F8" s="55" t="s">
        <v>87</v>
      </c>
      <c r="G8" s="55" t="s">
        <v>88</v>
      </c>
      <c r="H8" s="55" t="s">
        <v>78</v>
      </c>
      <c r="I8" s="55" t="s">
        <v>89</v>
      </c>
      <c r="J8" s="55" t="s">
        <v>90</v>
      </c>
      <c r="K8" s="55" t="s">
        <v>91</v>
      </c>
      <c r="L8" s="55" t="s">
        <v>92</v>
      </c>
      <c r="M8" s="55" t="s">
        <v>93</v>
      </c>
      <c r="N8" s="55" t="s">
        <v>94</v>
      </c>
      <c r="O8" s="55" t="s">
        <v>95</v>
      </c>
      <c r="P8" s="55" t="s">
        <v>96</v>
      </c>
      <c r="Q8" s="55" t="s">
        <v>97</v>
      </c>
      <c r="R8" s="55" t="s">
        <v>98</v>
      </c>
      <c r="S8" s="55" t="s">
        <v>99</v>
      </c>
      <c r="T8" s="55" t="s">
        <v>100</v>
      </c>
      <c r="U8" s="56" t="s">
        <v>101</v>
      </c>
    </row>
    <row r="9" spans="1:21" ht="14.25" thickTop="1">
      <c r="B9" s="45">
        <v>1</v>
      </c>
      <c r="C9" s="46" t="s">
        <v>297</v>
      </c>
      <c r="D9" s="46">
        <v>4.87</v>
      </c>
      <c r="E9" s="46">
        <v>5.75</v>
      </c>
      <c r="F9" s="46">
        <v>38.61</v>
      </c>
      <c r="G9" s="46">
        <v>30.3</v>
      </c>
      <c r="H9" s="46">
        <v>0.17</v>
      </c>
      <c r="I9" s="46" t="s">
        <v>186</v>
      </c>
      <c r="J9" s="46" t="s">
        <v>298</v>
      </c>
      <c r="K9" s="46">
        <v>5.8440000000000003</v>
      </c>
      <c r="L9" s="46">
        <v>3.5</v>
      </c>
      <c r="M9" s="46">
        <v>3.4024999999999999</v>
      </c>
      <c r="N9" s="46">
        <v>1.325</v>
      </c>
      <c r="O9" s="46">
        <v>2.8999999999999901</v>
      </c>
      <c r="P9" s="46">
        <v>9.3439999999999994</v>
      </c>
      <c r="Q9" s="46">
        <v>4.7275</v>
      </c>
      <c r="R9" s="46">
        <v>2.8999999999999901</v>
      </c>
      <c r="S9" s="46">
        <v>16.971499999999999</v>
      </c>
      <c r="T9" s="46">
        <v>6</v>
      </c>
      <c r="U9" s="47" t="s">
        <v>202</v>
      </c>
    </row>
    <row r="10" spans="1:21">
      <c r="B10" s="48">
        <v>2</v>
      </c>
      <c r="C10" s="49" t="s">
        <v>299</v>
      </c>
      <c r="D10" s="49">
        <v>5.0999999999999996</v>
      </c>
      <c r="E10" s="49">
        <v>5.67</v>
      </c>
      <c r="F10" s="49">
        <v>30.19</v>
      </c>
      <c r="G10" s="49">
        <v>38.729999999999997</v>
      </c>
      <c r="H10" s="49">
        <v>0.16</v>
      </c>
      <c r="I10" s="49" t="s">
        <v>186</v>
      </c>
      <c r="J10" s="49" t="s">
        <v>270</v>
      </c>
      <c r="K10" s="49">
        <v>6.1199999999999903</v>
      </c>
      <c r="L10" s="49">
        <v>3.34</v>
      </c>
      <c r="M10" s="49">
        <v>1.2975000000000001</v>
      </c>
      <c r="N10" s="49">
        <v>3.4324999999999899</v>
      </c>
      <c r="O10" s="49">
        <v>3.2</v>
      </c>
      <c r="P10" s="49">
        <v>9.4599999999999902</v>
      </c>
      <c r="Q10" s="49">
        <v>4.7299999999999898</v>
      </c>
      <c r="R10" s="49">
        <v>3.2</v>
      </c>
      <c r="S10" s="49">
        <v>17.389999999999901</v>
      </c>
      <c r="T10" s="49">
        <v>15</v>
      </c>
      <c r="U10" s="50" t="s">
        <v>252</v>
      </c>
    </row>
    <row r="11" spans="1:21">
      <c r="B11" s="48">
        <v>3</v>
      </c>
      <c r="C11" s="49" t="s">
        <v>300</v>
      </c>
      <c r="D11" s="49">
        <v>4.5199999999999996</v>
      </c>
      <c r="E11" s="49">
        <v>4.1500000000000004</v>
      </c>
      <c r="F11" s="49">
        <v>38.5</v>
      </c>
      <c r="G11" s="49">
        <v>35.29</v>
      </c>
      <c r="H11" s="49">
        <v>0.21</v>
      </c>
      <c r="I11" s="49" t="s">
        <v>186</v>
      </c>
      <c r="J11" s="49" t="s">
        <v>251</v>
      </c>
      <c r="K11" s="49">
        <v>5.4239999999999897</v>
      </c>
      <c r="L11" s="49">
        <v>1</v>
      </c>
      <c r="M11" s="49">
        <v>3.375</v>
      </c>
      <c r="N11" s="49">
        <v>2.5724999999999998</v>
      </c>
      <c r="O11" s="49">
        <v>1.7</v>
      </c>
      <c r="P11" s="49">
        <v>6.4239999999999897</v>
      </c>
      <c r="Q11" s="49">
        <v>5.9474999999999998</v>
      </c>
      <c r="R11" s="49">
        <v>1.7</v>
      </c>
      <c r="S11" s="49">
        <v>14.0715</v>
      </c>
      <c r="T11" s="49">
        <v>10</v>
      </c>
      <c r="U11" s="50" t="s">
        <v>202</v>
      </c>
    </row>
    <row r="12" spans="1:21">
      <c r="B12" s="48">
        <v>4</v>
      </c>
      <c r="C12" s="49" t="s">
        <v>301</v>
      </c>
      <c r="D12" s="49">
        <v>4.58</v>
      </c>
      <c r="E12" s="49">
        <v>4.5599999999999996</v>
      </c>
      <c r="F12" s="49">
        <v>32.99</v>
      </c>
      <c r="G12" s="49">
        <v>33.659999999999997</v>
      </c>
      <c r="H12" s="49">
        <v>0.2</v>
      </c>
      <c r="I12" s="49" t="s">
        <v>186</v>
      </c>
      <c r="J12" s="49" t="s">
        <v>302</v>
      </c>
      <c r="K12" s="49">
        <v>5.4959999999999898</v>
      </c>
      <c r="L12" s="49">
        <v>1.1199999999999899</v>
      </c>
      <c r="M12" s="49">
        <v>1.9975000000000001</v>
      </c>
      <c r="N12" s="49">
        <v>2.1649999999999898</v>
      </c>
      <c r="O12" s="49">
        <v>2</v>
      </c>
      <c r="P12" s="49">
        <v>6.6159999999999899</v>
      </c>
      <c r="Q12" s="49">
        <v>4.1624999999999996</v>
      </c>
      <c r="R12" s="49">
        <v>2</v>
      </c>
      <c r="S12" s="49">
        <v>12.7784999999999</v>
      </c>
      <c r="T12" s="49">
        <v>10</v>
      </c>
      <c r="U12" s="50" t="s">
        <v>202</v>
      </c>
    </row>
    <row r="13" spans="1:21">
      <c r="B13" s="48">
        <v>5</v>
      </c>
      <c r="C13" s="49" t="s">
        <v>303</v>
      </c>
      <c r="D13" s="49">
        <v>1.78</v>
      </c>
      <c r="E13" s="49">
        <v>1.32</v>
      </c>
      <c r="F13" s="49">
        <v>32.229999999999997</v>
      </c>
      <c r="G13" s="49">
        <v>42.21</v>
      </c>
      <c r="H13" s="49">
        <v>0.24</v>
      </c>
      <c r="I13" s="49" t="s">
        <v>253</v>
      </c>
      <c r="J13" s="49" t="s">
        <v>298</v>
      </c>
      <c r="K13" s="49">
        <v>2.1360000000000001</v>
      </c>
      <c r="L13" s="49">
        <v>1</v>
      </c>
      <c r="M13" s="49">
        <v>1.8074999999999899</v>
      </c>
      <c r="N13" s="49">
        <v>4.3025000000000002</v>
      </c>
      <c r="O13" s="49">
        <v>1</v>
      </c>
      <c r="P13" s="49">
        <v>3.1360000000000001</v>
      </c>
      <c r="Q13" s="49">
        <v>6.1099999999999897</v>
      </c>
      <c r="R13" s="49">
        <v>1</v>
      </c>
      <c r="S13" s="49">
        <v>10.245999999999899</v>
      </c>
      <c r="T13" s="49">
        <v>10</v>
      </c>
      <c r="U13" s="50" t="s">
        <v>202</v>
      </c>
    </row>
    <row r="14" spans="1:21" ht="14.25" thickBot="1">
      <c r="B14" s="51">
        <v>6</v>
      </c>
      <c r="C14" s="52" t="s">
        <v>304</v>
      </c>
      <c r="D14" s="52">
        <v>4.99</v>
      </c>
      <c r="E14" s="52">
        <v>4.75</v>
      </c>
      <c r="F14" s="52">
        <v>30.73</v>
      </c>
      <c r="G14" s="52">
        <v>33.17</v>
      </c>
      <c r="H14" s="52">
        <v>0.19</v>
      </c>
      <c r="I14" s="52" t="s">
        <v>186</v>
      </c>
      <c r="J14" s="52" t="s">
        <v>249</v>
      </c>
      <c r="K14" s="52">
        <v>5.9880000000000004</v>
      </c>
      <c r="L14" s="52">
        <v>1.5</v>
      </c>
      <c r="M14" s="52">
        <v>1.4325000000000001</v>
      </c>
      <c r="N14" s="52">
        <v>2.0425</v>
      </c>
      <c r="O14" s="52">
        <v>2.2999999999999998</v>
      </c>
      <c r="P14" s="52">
        <v>7.4880000000000004</v>
      </c>
      <c r="Q14" s="52">
        <v>3.4750000000000001</v>
      </c>
      <c r="R14" s="52">
        <v>2.2999999999999998</v>
      </c>
      <c r="S14" s="52">
        <v>13.263</v>
      </c>
      <c r="T14" s="52">
        <v>13</v>
      </c>
      <c r="U14" s="53" t="s">
        <v>202</v>
      </c>
    </row>
    <row r="16" spans="1:21" ht="14.25" thickBot="1">
      <c r="A16" s="1" t="s">
        <v>187</v>
      </c>
    </row>
    <row r="17" spans="2:11" ht="14.25" thickBot="1">
      <c r="B17" s="57" t="s">
        <v>188</v>
      </c>
      <c r="C17" s="58">
        <v>123456</v>
      </c>
    </row>
    <row r="18" spans="2:11" ht="14.25" thickBot="1"/>
    <row r="19" spans="2:11" ht="14.25" thickBot="1">
      <c r="B19" s="59" t="s">
        <v>135</v>
      </c>
      <c r="C19" s="60" t="s">
        <v>189</v>
      </c>
      <c r="D19" s="60" t="s">
        <v>190</v>
      </c>
      <c r="E19" s="60" t="s">
        <v>191</v>
      </c>
      <c r="F19" s="60" t="s">
        <v>192</v>
      </c>
      <c r="G19" s="60" t="s">
        <v>193</v>
      </c>
      <c r="H19" s="60" t="s">
        <v>194</v>
      </c>
      <c r="I19" s="60" t="s">
        <v>195</v>
      </c>
      <c r="J19" s="60" t="s">
        <v>196</v>
      </c>
      <c r="K19" s="61" t="s">
        <v>197</v>
      </c>
    </row>
    <row r="20" spans="2:11" ht="14.25" thickTop="1">
      <c r="B20" s="45">
        <v>1</v>
      </c>
      <c r="C20" s="46" t="s">
        <v>198</v>
      </c>
      <c r="D20" s="84">
        <v>0.47200000000000003</v>
      </c>
      <c r="E20" s="84">
        <v>0</v>
      </c>
      <c r="F20" s="84">
        <v>0</v>
      </c>
      <c r="G20" s="84">
        <v>0</v>
      </c>
      <c r="H20" s="84">
        <v>0</v>
      </c>
      <c r="I20" s="84">
        <v>0.16699999999999998</v>
      </c>
      <c r="J20" s="84">
        <v>0.222</v>
      </c>
      <c r="K20" s="85">
        <v>0.111</v>
      </c>
    </row>
    <row r="21" spans="2:11">
      <c r="B21" s="62">
        <v>1</v>
      </c>
      <c r="C21" s="63" t="s">
        <v>199</v>
      </c>
      <c r="D21" s="86">
        <v>0.33299999999999996</v>
      </c>
      <c r="E21" s="86">
        <v>0</v>
      </c>
      <c r="F21" s="86">
        <v>0</v>
      </c>
      <c r="G21" s="86">
        <v>0</v>
      </c>
      <c r="H21" s="86">
        <v>0</v>
      </c>
      <c r="I21" s="86">
        <v>0.33299999999999996</v>
      </c>
      <c r="J21" s="86">
        <v>0.2</v>
      </c>
      <c r="K21" s="87">
        <v>0.13300000000000001</v>
      </c>
    </row>
    <row r="22" spans="2:11">
      <c r="B22" s="64">
        <v>2</v>
      </c>
      <c r="C22" s="65" t="s">
        <v>198</v>
      </c>
      <c r="D22" s="88">
        <v>0</v>
      </c>
      <c r="E22" s="88">
        <v>8.6999999999999994E-2</v>
      </c>
      <c r="F22" s="88">
        <v>0</v>
      </c>
      <c r="G22" s="88">
        <v>0</v>
      </c>
      <c r="H22" s="88">
        <v>0.78299999999999992</v>
      </c>
      <c r="I22" s="88">
        <v>0</v>
      </c>
      <c r="J22" s="88">
        <v>0</v>
      </c>
      <c r="K22" s="89">
        <v>0</v>
      </c>
    </row>
    <row r="23" spans="2:11">
      <c r="B23" s="66">
        <v>2</v>
      </c>
      <c r="C23" s="67" t="s">
        <v>199</v>
      </c>
      <c r="D23" s="90">
        <v>0</v>
      </c>
      <c r="E23" s="90">
        <v>0.111</v>
      </c>
      <c r="F23" s="90">
        <v>0</v>
      </c>
      <c r="G23" s="90">
        <v>0</v>
      </c>
      <c r="H23" s="90">
        <v>0.77800000000000002</v>
      </c>
      <c r="I23" s="90">
        <v>0</v>
      </c>
      <c r="J23" s="90">
        <v>0</v>
      </c>
      <c r="K23" s="91">
        <v>0</v>
      </c>
    </row>
    <row r="24" spans="2:11">
      <c r="B24" s="68">
        <v>3</v>
      </c>
      <c r="C24" s="69" t="s">
        <v>198</v>
      </c>
      <c r="D24" s="92">
        <v>0</v>
      </c>
      <c r="E24" s="92">
        <v>0</v>
      </c>
      <c r="F24" s="92">
        <v>0</v>
      </c>
      <c r="G24" s="92">
        <v>0.13600000000000001</v>
      </c>
      <c r="H24" s="92">
        <v>0</v>
      </c>
      <c r="I24" s="92">
        <v>0</v>
      </c>
      <c r="J24" s="92">
        <v>0</v>
      </c>
      <c r="K24" s="93">
        <v>0</v>
      </c>
    </row>
    <row r="25" spans="2:11">
      <c r="B25" s="70">
        <v>3</v>
      </c>
      <c r="C25" s="71" t="s">
        <v>199</v>
      </c>
      <c r="D25" s="94">
        <v>0</v>
      </c>
      <c r="E25" s="94">
        <v>0</v>
      </c>
      <c r="F25" s="94">
        <v>0</v>
      </c>
      <c r="G25" s="94">
        <v>0.154</v>
      </c>
      <c r="H25" s="94">
        <v>0</v>
      </c>
      <c r="I25" s="94">
        <v>0</v>
      </c>
      <c r="J25" s="94">
        <v>0</v>
      </c>
      <c r="K25" s="95">
        <v>0</v>
      </c>
    </row>
    <row r="26" spans="2:11">
      <c r="B26" s="72">
        <v>4</v>
      </c>
      <c r="C26" s="73" t="s">
        <v>198</v>
      </c>
      <c r="D26" s="96">
        <v>0</v>
      </c>
      <c r="E26" s="96">
        <v>0</v>
      </c>
      <c r="F26" s="96">
        <v>0.19</v>
      </c>
      <c r="G26" s="96">
        <v>4.8000000000000001E-2</v>
      </c>
      <c r="H26" s="96">
        <v>0</v>
      </c>
      <c r="I26" s="96">
        <v>0</v>
      </c>
      <c r="J26" s="96">
        <v>0</v>
      </c>
      <c r="K26" s="97">
        <v>0</v>
      </c>
    </row>
    <row r="27" spans="2:11">
      <c r="B27" s="74">
        <v>4</v>
      </c>
      <c r="C27" s="75" t="s">
        <v>199</v>
      </c>
      <c r="D27" s="98">
        <v>0</v>
      </c>
      <c r="E27" s="98">
        <v>0</v>
      </c>
      <c r="F27" s="98">
        <v>0.27300000000000002</v>
      </c>
      <c r="G27" s="98">
        <v>0</v>
      </c>
      <c r="H27" s="98">
        <v>0</v>
      </c>
      <c r="I27" s="98">
        <v>0</v>
      </c>
      <c r="J27" s="98">
        <v>0</v>
      </c>
      <c r="K27" s="99">
        <v>0</v>
      </c>
    </row>
    <row r="28" spans="2:11">
      <c r="B28" s="76">
        <v>5</v>
      </c>
      <c r="C28" s="77" t="s">
        <v>198</v>
      </c>
      <c r="D28" s="100">
        <v>0</v>
      </c>
      <c r="E28" s="100">
        <v>0</v>
      </c>
      <c r="F28" s="100">
        <v>0</v>
      </c>
      <c r="G28" s="100">
        <v>0</v>
      </c>
      <c r="H28" s="100">
        <v>0</v>
      </c>
      <c r="I28" s="100">
        <v>0</v>
      </c>
      <c r="J28" s="100">
        <v>0</v>
      </c>
      <c r="K28" s="101">
        <v>0</v>
      </c>
    </row>
    <row r="29" spans="2:11">
      <c r="B29" s="78">
        <v>5</v>
      </c>
      <c r="C29" s="79" t="s">
        <v>199</v>
      </c>
      <c r="D29" s="102">
        <v>0</v>
      </c>
      <c r="E29" s="102">
        <v>0</v>
      </c>
      <c r="F29" s="102">
        <v>0</v>
      </c>
      <c r="G29" s="102">
        <v>0</v>
      </c>
      <c r="H29" s="102">
        <v>0</v>
      </c>
      <c r="I29" s="102">
        <v>0</v>
      </c>
      <c r="J29" s="102">
        <v>0</v>
      </c>
      <c r="K29" s="103">
        <v>0</v>
      </c>
    </row>
    <row r="30" spans="2:11">
      <c r="B30" s="80">
        <v>6</v>
      </c>
      <c r="C30" s="81" t="s">
        <v>198</v>
      </c>
      <c r="D30" s="104">
        <v>0</v>
      </c>
      <c r="E30" s="104">
        <v>0</v>
      </c>
      <c r="F30" s="104">
        <v>0</v>
      </c>
      <c r="G30" s="104">
        <v>0</v>
      </c>
      <c r="H30" s="104">
        <v>0</v>
      </c>
      <c r="I30" s="104">
        <v>0</v>
      </c>
      <c r="J30" s="104">
        <v>0</v>
      </c>
      <c r="K30" s="105">
        <v>0</v>
      </c>
    </row>
    <row r="31" spans="2:11" ht="14.25" thickBot="1">
      <c r="B31" s="82">
        <v>6</v>
      </c>
      <c r="C31" s="83" t="s">
        <v>199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7">
        <v>0</v>
      </c>
    </row>
    <row r="33" spans="1:24">
      <c r="A33" s="1" t="s">
        <v>200</v>
      </c>
    </row>
    <row r="36" spans="1:24" ht="14.25" thickBot="1"/>
    <row r="37" spans="1:24" ht="41.25" thickBot="1">
      <c r="B37" s="54" t="s">
        <v>83</v>
      </c>
      <c r="C37" s="55" t="s">
        <v>203</v>
      </c>
      <c r="D37" s="55" t="s">
        <v>307</v>
      </c>
      <c r="E37" s="55" t="s">
        <v>308</v>
      </c>
      <c r="F37" s="55" t="s">
        <v>309</v>
      </c>
      <c r="G37" s="55" t="s">
        <v>310</v>
      </c>
      <c r="H37" s="55" t="s">
        <v>248</v>
      </c>
      <c r="I37" s="55" t="s">
        <v>204</v>
      </c>
      <c r="J37" s="55" t="s">
        <v>205</v>
      </c>
      <c r="K37" s="55" t="s">
        <v>206</v>
      </c>
      <c r="L37" s="55" t="s">
        <v>207</v>
      </c>
      <c r="M37" s="55" t="s">
        <v>208</v>
      </c>
      <c r="N37" s="55" t="s">
        <v>209</v>
      </c>
      <c r="O37" s="55" t="s">
        <v>210</v>
      </c>
      <c r="P37" s="55" t="s">
        <v>211</v>
      </c>
      <c r="Q37" s="55" t="s">
        <v>212</v>
      </c>
      <c r="R37" s="55" t="s">
        <v>219</v>
      </c>
      <c r="S37" s="55" t="s">
        <v>213</v>
      </c>
      <c r="T37" s="55" t="s">
        <v>214</v>
      </c>
      <c r="U37" s="55" t="s">
        <v>215</v>
      </c>
      <c r="V37" s="55" t="s">
        <v>216</v>
      </c>
      <c r="W37" s="55" t="s">
        <v>217</v>
      </c>
      <c r="X37" s="56" t="s">
        <v>218</v>
      </c>
    </row>
    <row r="38" spans="1:24" ht="14.25" thickTop="1">
      <c r="B38" s="108">
        <v>1</v>
      </c>
      <c r="C38" s="109">
        <v>1</v>
      </c>
      <c r="D38" s="109">
        <v>6.7</v>
      </c>
      <c r="E38" s="109">
        <v>18.22</v>
      </c>
      <c r="F38" s="109">
        <v>4.24</v>
      </c>
      <c r="G38" s="109">
        <v>7.14</v>
      </c>
      <c r="H38" s="109">
        <v>0.16</v>
      </c>
      <c r="I38" s="109">
        <v>-0.08</v>
      </c>
      <c r="J38" s="109">
        <v>4</v>
      </c>
      <c r="K38" s="109">
        <v>1</v>
      </c>
      <c r="L38" s="109">
        <v>5</v>
      </c>
      <c r="M38" s="109">
        <v>5</v>
      </c>
      <c r="N38" s="109">
        <v>1</v>
      </c>
      <c r="O38" s="109">
        <v>15</v>
      </c>
      <c r="P38" s="109">
        <v>2</v>
      </c>
      <c r="Q38" s="109">
        <v>10</v>
      </c>
      <c r="R38" s="109">
        <v>10.0075</v>
      </c>
      <c r="S38" s="109">
        <v>27</v>
      </c>
      <c r="T38" s="109">
        <v>0</v>
      </c>
      <c r="U38" s="109" t="s">
        <v>250</v>
      </c>
      <c r="V38" s="109">
        <v>1</v>
      </c>
      <c r="W38" s="109">
        <v>0</v>
      </c>
      <c r="X38" s="110">
        <v>27</v>
      </c>
    </row>
    <row r="39" spans="1:24">
      <c r="B39" s="34">
        <v>2</v>
      </c>
      <c r="C39" s="11">
        <v>2</v>
      </c>
      <c r="D39" s="11">
        <v>6.71</v>
      </c>
      <c r="E39" s="11">
        <v>18.28</v>
      </c>
      <c r="F39" s="11">
        <v>4.51</v>
      </c>
      <c r="G39" s="11">
        <v>7.45</v>
      </c>
      <c r="H39" s="11">
        <v>0.15</v>
      </c>
      <c r="I39" s="11">
        <v>-7.0000000000000201E-2</v>
      </c>
      <c r="J39" s="11">
        <v>4</v>
      </c>
      <c r="K39" s="11">
        <v>1</v>
      </c>
      <c r="L39" s="11">
        <v>3</v>
      </c>
      <c r="M39" s="11">
        <v>3</v>
      </c>
      <c r="N39" s="11">
        <v>1</v>
      </c>
      <c r="O39" s="11">
        <v>11</v>
      </c>
      <c r="P39" s="11">
        <v>2</v>
      </c>
      <c r="Q39" s="11">
        <v>6</v>
      </c>
      <c r="R39" s="11">
        <v>4.5824999999999996</v>
      </c>
      <c r="S39" s="11">
        <v>19</v>
      </c>
      <c r="T39" s="11">
        <v>0</v>
      </c>
      <c r="U39" s="11" t="s">
        <v>221</v>
      </c>
      <c r="V39" s="11">
        <v>0</v>
      </c>
      <c r="W39" s="11">
        <v>0</v>
      </c>
      <c r="X39" s="14">
        <v>19</v>
      </c>
    </row>
    <row r="40" spans="1:24">
      <c r="B40" s="34">
        <v>3</v>
      </c>
      <c r="C40" s="11">
        <v>3</v>
      </c>
      <c r="D40" s="11">
        <v>6.91</v>
      </c>
      <c r="E40" s="11">
        <v>18.55</v>
      </c>
      <c r="F40" s="11">
        <v>4.5</v>
      </c>
      <c r="G40" s="11">
        <v>7.48</v>
      </c>
      <c r="H40" s="11">
        <v>0.16</v>
      </c>
      <c r="I40" s="11">
        <v>0.12999999999999901</v>
      </c>
      <c r="J40" s="11">
        <v>1</v>
      </c>
      <c r="K40" s="11">
        <v>1</v>
      </c>
      <c r="L40" s="11">
        <v>3</v>
      </c>
      <c r="M40" s="11">
        <v>3</v>
      </c>
      <c r="N40" s="11">
        <v>1</v>
      </c>
      <c r="O40" s="11">
        <v>8</v>
      </c>
      <c r="P40" s="11">
        <v>2</v>
      </c>
      <c r="Q40" s="11">
        <v>6</v>
      </c>
      <c r="R40" s="11">
        <v>5.0075000000000101</v>
      </c>
      <c r="S40" s="11">
        <v>16</v>
      </c>
      <c r="T40" s="11">
        <v>0</v>
      </c>
      <c r="U40" s="11" t="s">
        <v>221</v>
      </c>
      <c r="V40" s="11">
        <v>0</v>
      </c>
      <c r="W40" s="11">
        <v>1</v>
      </c>
      <c r="X40" s="14">
        <v>17</v>
      </c>
    </row>
    <row r="41" spans="1:24">
      <c r="B41" s="34">
        <v>4</v>
      </c>
      <c r="C41" s="11">
        <v>4</v>
      </c>
      <c r="D41" s="11">
        <v>6.76</v>
      </c>
      <c r="E41" s="11">
        <v>18.420000000000002</v>
      </c>
      <c r="F41" s="11">
        <v>4.67</v>
      </c>
      <c r="G41" s="11">
        <v>7.47</v>
      </c>
      <c r="H41" s="11">
        <v>-0.05</v>
      </c>
      <c r="I41" s="11">
        <v>-2.0000000000000399E-2</v>
      </c>
      <c r="J41" s="11">
        <v>3</v>
      </c>
      <c r="K41" s="11">
        <v>1</v>
      </c>
      <c r="L41" s="11">
        <v>3</v>
      </c>
      <c r="M41" s="11">
        <v>3</v>
      </c>
      <c r="N41" s="11">
        <v>5</v>
      </c>
      <c r="O41" s="11">
        <v>14</v>
      </c>
      <c r="P41" s="11">
        <v>6</v>
      </c>
      <c r="Q41" s="11">
        <v>6</v>
      </c>
      <c r="R41" s="11">
        <v>11.0275</v>
      </c>
      <c r="S41" s="11">
        <v>26</v>
      </c>
      <c r="T41" s="11">
        <v>0</v>
      </c>
      <c r="U41" s="11" t="s">
        <v>247</v>
      </c>
      <c r="V41" s="11">
        <v>0</v>
      </c>
      <c r="W41" s="11">
        <v>0</v>
      </c>
      <c r="X41" s="14">
        <v>26</v>
      </c>
    </row>
    <row r="42" spans="1:24">
      <c r="B42" s="34">
        <v>5</v>
      </c>
      <c r="C42" s="11">
        <v>5</v>
      </c>
      <c r="D42" s="11">
        <v>6.77</v>
      </c>
      <c r="E42" s="11">
        <v>18.47</v>
      </c>
      <c r="F42" s="11">
        <v>5.03</v>
      </c>
      <c r="G42" s="11">
        <v>7.55</v>
      </c>
      <c r="H42" s="11">
        <v>0.01</v>
      </c>
      <c r="I42" s="11">
        <v>-1.00000000000006E-2</v>
      </c>
      <c r="J42" s="11">
        <v>3</v>
      </c>
      <c r="K42" s="11">
        <v>1</v>
      </c>
      <c r="L42" s="11">
        <v>1</v>
      </c>
      <c r="M42" s="11">
        <v>2</v>
      </c>
      <c r="N42" s="11">
        <v>5</v>
      </c>
      <c r="O42" s="11">
        <v>11</v>
      </c>
      <c r="P42" s="11">
        <v>6</v>
      </c>
      <c r="Q42" s="11">
        <v>3</v>
      </c>
      <c r="R42" s="11">
        <v>9</v>
      </c>
      <c r="S42" s="11">
        <v>20</v>
      </c>
      <c r="T42" s="11">
        <v>0</v>
      </c>
      <c r="U42" s="11" t="s">
        <v>247</v>
      </c>
      <c r="V42" s="11">
        <v>0</v>
      </c>
      <c r="W42" s="11">
        <v>1</v>
      </c>
      <c r="X42" s="14">
        <v>21</v>
      </c>
    </row>
    <row r="43" spans="1:24" ht="14.25" thickBot="1">
      <c r="B43" s="35">
        <v>6</v>
      </c>
      <c r="C43" s="15">
        <v>6</v>
      </c>
      <c r="D43" s="15">
        <v>6.89</v>
      </c>
      <c r="E43" s="15">
        <v>18.93</v>
      </c>
      <c r="F43" s="15">
        <v>4.6399999999999997</v>
      </c>
      <c r="G43" s="15">
        <v>7.62</v>
      </c>
      <c r="H43" s="15">
        <v>7.0000000000000007E-2</v>
      </c>
      <c r="I43" s="15">
        <v>0.109999999999999</v>
      </c>
      <c r="J43" s="15">
        <v>1</v>
      </c>
      <c r="K43" s="15">
        <v>1</v>
      </c>
      <c r="L43" s="15">
        <v>3</v>
      </c>
      <c r="M43" s="15">
        <v>2</v>
      </c>
      <c r="N43" s="15">
        <v>4</v>
      </c>
      <c r="O43" s="15">
        <v>10</v>
      </c>
      <c r="P43" s="15">
        <v>5</v>
      </c>
      <c r="Q43" s="15">
        <v>5</v>
      </c>
      <c r="R43" s="15">
        <v>7.1099999999999994</v>
      </c>
      <c r="S43" s="15">
        <v>20</v>
      </c>
      <c r="T43" s="15">
        <v>0</v>
      </c>
      <c r="U43" s="15" t="s">
        <v>221</v>
      </c>
      <c r="V43" s="15">
        <v>0</v>
      </c>
      <c r="W43" s="15">
        <v>0</v>
      </c>
      <c r="X43" s="16">
        <v>20</v>
      </c>
    </row>
    <row r="46" spans="1:24">
      <c r="A46" s="1" t="s">
        <v>222</v>
      </c>
    </row>
    <row r="48" spans="1:24" ht="14.25" thickBot="1"/>
    <row r="49" spans="1:18" ht="41.25" thickBot="1">
      <c r="B49" s="54" t="s">
        <v>83</v>
      </c>
      <c r="C49" s="55" t="s">
        <v>234</v>
      </c>
      <c r="D49" s="55" t="s">
        <v>223</v>
      </c>
      <c r="E49" s="55" t="s">
        <v>224</v>
      </c>
      <c r="F49" s="115" t="s">
        <v>225</v>
      </c>
      <c r="G49" s="55" t="s">
        <v>226</v>
      </c>
      <c r="H49" s="55" t="s">
        <v>227</v>
      </c>
      <c r="I49" s="55" t="s">
        <v>228</v>
      </c>
      <c r="J49" s="55" t="s">
        <v>229</v>
      </c>
      <c r="K49" s="55" t="s">
        <v>230</v>
      </c>
      <c r="L49" s="55" t="s">
        <v>231</v>
      </c>
      <c r="M49" s="55" t="s">
        <v>232</v>
      </c>
      <c r="N49" s="56" t="s">
        <v>233</v>
      </c>
    </row>
    <row r="50" spans="1:18" ht="14.25" thickTop="1">
      <c r="B50" s="108">
        <v>1</v>
      </c>
      <c r="C50" s="109">
        <f t="shared" ref="C50:C55" si="0">C38</f>
        <v>1</v>
      </c>
      <c r="D50" s="114">
        <v>0.69879518072289104</v>
      </c>
      <c r="E50" s="114">
        <v>0.6</v>
      </c>
      <c r="F50" s="114">
        <v>0.94106999999999996</v>
      </c>
      <c r="G50" s="109" t="s">
        <v>235</v>
      </c>
      <c r="H50" s="109" t="s">
        <v>235</v>
      </c>
      <c r="I50" s="109" t="s">
        <v>235</v>
      </c>
      <c r="J50" s="109" t="s">
        <v>235</v>
      </c>
      <c r="K50" s="109" t="s">
        <v>236</v>
      </c>
      <c r="L50" s="109">
        <v>1</v>
      </c>
      <c r="M50" s="109">
        <v>28</v>
      </c>
      <c r="N50" s="110">
        <v>0</v>
      </c>
    </row>
    <row r="51" spans="1:18">
      <c r="B51" s="34">
        <v>2</v>
      </c>
      <c r="C51" s="11">
        <f t="shared" si="0"/>
        <v>2</v>
      </c>
      <c r="D51" s="112">
        <v>0.62295081967213095</v>
      </c>
      <c r="E51" s="112">
        <v>0.62962962962962898</v>
      </c>
      <c r="F51" s="112">
        <v>0</v>
      </c>
      <c r="G51" s="11" t="s">
        <v>235</v>
      </c>
      <c r="H51" s="11" t="s">
        <v>235</v>
      </c>
      <c r="I51" s="11" t="s">
        <v>235</v>
      </c>
      <c r="J51" s="11" t="s">
        <v>235</v>
      </c>
      <c r="K51" s="11" t="s">
        <v>237</v>
      </c>
      <c r="L51" s="11">
        <v>0</v>
      </c>
      <c r="M51" s="11">
        <v>19</v>
      </c>
      <c r="N51" s="14">
        <v>0</v>
      </c>
    </row>
    <row r="52" spans="1:18">
      <c r="B52" s="34">
        <v>3</v>
      </c>
      <c r="C52" s="11">
        <f t="shared" si="0"/>
        <v>3</v>
      </c>
      <c r="D52" s="112">
        <v>0.8</v>
      </c>
      <c r="E52" s="112">
        <v>0.9</v>
      </c>
      <c r="F52" s="112">
        <v>0</v>
      </c>
      <c r="G52" s="11" t="s">
        <v>235</v>
      </c>
      <c r="H52" s="11" t="s">
        <v>235</v>
      </c>
      <c r="I52" s="11" t="s">
        <v>235</v>
      </c>
      <c r="J52" s="11" t="s">
        <v>235</v>
      </c>
      <c r="K52" s="11" t="s">
        <v>237</v>
      </c>
      <c r="L52" s="11">
        <v>0</v>
      </c>
      <c r="M52" s="11">
        <v>17</v>
      </c>
      <c r="N52" s="14">
        <v>0</v>
      </c>
    </row>
    <row r="53" spans="1:18">
      <c r="B53" s="34">
        <v>4</v>
      </c>
      <c r="C53" s="11">
        <f t="shared" si="0"/>
        <v>4</v>
      </c>
      <c r="D53" s="112">
        <v>0.74452554744525501</v>
      </c>
      <c r="E53" s="112">
        <v>0.734375</v>
      </c>
      <c r="F53" s="112">
        <v>0.29105999999999999</v>
      </c>
      <c r="G53" s="11" t="s">
        <v>235</v>
      </c>
      <c r="H53" s="11" t="s">
        <v>235</v>
      </c>
      <c r="I53" s="11" t="s">
        <v>235</v>
      </c>
      <c r="J53" s="11" t="s">
        <v>235</v>
      </c>
      <c r="K53" s="11" t="s">
        <v>220</v>
      </c>
      <c r="L53" s="11">
        <v>1</v>
      </c>
      <c r="M53" s="11">
        <v>27</v>
      </c>
      <c r="N53" s="14">
        <v>0</v>
      </c>
    </row>
    <row r="54" spans="1:18">
      <c r="B54" s="34">
        <v>5</v>
      </c>
      <c r="C54" s="11">
        <f t="shared" si="0"/>
        <v>5</v>
      </c>
      <c r="D54" s="112">
        <v>0.12903225806451599</v>
      </c>
      <c r="E54" s="112">
        <v>0.214285714285714</v>
      </c>
      <c r="F54" s="112">
        <v>0</v>
      </c>
      <c r="G54" s="11" t="s">
        <v>235</v>
      </c>
      <c r="H54" s="11" t="s">
        <v>235</v>
      </c>
      <c r="I54" s="11" t="s">
        <v>235</v>
      </c>
      <c r="J54" s="11" t="s">
        <v>235</v>
      </c>
      <c r="K54" s="11" t="s">
        <v>237</v>
      </c>
      <c r="L54" s="11">
        <v>0</v>
      </c>
      <c r="M54" s="11">
        <v>21</v>
      </c>
      <c r="N54" s="14">
        <v>0</v>
      </c>
    </row>
    <row r="55" spans="1:18" ht="14.25" thickBot="1">
      <c r="B55" s="35">
        <v>6</v>
      </c>
      <c r="C55" s="15">
        <f t="shared" si="0"/>
        <v>6</v>
      </c>
      <c r="D55" s="113">
        <v>0.63749999999999996</v>
      </c>
      <c r="E55" s="113">
        <v>0.65116279069767402</v>
      </c>
      <c r="F55" s="113">
        <v>0</v>
      </c>
      <c r="G55" s="15" t="s">
        <v>235</v>
      </c>
      <c r="H55" s="15" t="s">
        <v>235</v>
      </c>
      <c r="I55" s="15" t="s">
        <v>235</v>
      </c>
      <c r="J55" s="15" t="s">
        <v>235</v>
      </c>
      <c r="K55" s="15" t="s">
        <v>237</v>
      </c>
      <c r="L55" s="15">
        <v>0</v>
      </c>
      <c r="M55" s="15">
        <v>20</v>
      </c>
      <c r="N55" s="16">
        <v>0</v>
      </c>
    </row>
    <row r="56" spans="1:18" ht="14.25" thickBot="1"/>
    <row r="57" spans="1:18" ht="27">
      <c r="B57" s="30" t="s">
        <v>238</v>
      </c>
      <c r="C57" s="31" t="s">
        <v>239</v>
      </c>
      <c r="D57" s="31" t="s">
        <v>240</v>
      </c>
      <c r="E57" s="31" t="s">
        <v>241</v>
      </c>
      <c r="F57" s="31" t="s">
        <v>242</v>
      </c>
      <c r="G57" s="31" t="s">
        <v>243</v>
      </c>
      <c r="H57" s="32" t="s">
        <v>244</v>
      </c>
    </row>
    <row r="58" spans="1:18">
      <c r="B58" s="34" t="s">
        <v>245</v>
      </c>
      <c r="C58" s="11">
        <f>INDEX(C50:C55, MATCH(MAX(M50:M55), M50:M55, 0))</f>
        <v>1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4・5・6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/>
      </c>
      <c r="F58" s="11" t="str">
        <f>_xlfn.TEXTJOIN("",,_xlfn.TEXTSPLIT(D58,"・"))</f>
        <v>456</v>
      </c>
      <c r="G58" s="11" t="str">
        <f>IF(E58="", "", _xlfn.TEXTJOIN("",,_xlfn.TEXTSPLIT(E58,"・")))</f>
        <v/>
      </c>
      <c r="H58" s="14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1-456-45623</v>
      </c>
    </row>
    <row r="59" spans="1:18" ht="14.25" thickBot="1">
      <c r="B59" s="35" t="s">
        <v>246</v>
      </c>
      <c r="C59" s="15" cm="1">
        <f t="array" ref="C59">INDEX(C50:C55,
   MATCH(
      LARGE(IF(C50:C55&lt;&gt;C58, M50:M55), 1),
      IF(C50:C55&lt;&gt;C58, M50:M55),
   0))</f>
        <v>4</v>
      </c>
      <c r="D59" s="15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1・5・6</v>
      </c>
      <c r="E59" s="15" t="str" cm="1">
        <f t="array" ref="E59">_xlfn.TEXTJOIN("・", TRUE,
   IF(
      (N50:N55=1) *
      ISERROR(MATCH(C50:C55, --_xlfn.TEXTSPLIT(D59,"・"), 0)) *
      (C50:C55&lt;&gt;C59),
      C50:C55,
      ""
   )
)</f>
        <v/>
      </c>
      <c r="F59" s="15" t="str">
        <f>_xlfn.TEXTJOIN("",,_xlfn.TEXTSPLIT(D59,"・"))</f>
        <v>156</v>
      </c>
      <c r="G59" s="15" t="str">
        <f>IF(E59="", "", _xlfn.TEXTJOIN("",,_xlfn.TEXTSPLIT(E59,"・")))</f>
        <v/>
      </c>
      <c r="H59" s="16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4-156-15623</v>
      </c>
      <c r="J59" s="111"/>
    </row>
    <row r="62" spans="1:18">
      <c r="A62" s="1" t="s">
        <v>255</v>
      </c>
    </row>
    <row r="63" spans="1:18" ht="14.25" thickBot="1">
      <c r="I63" s="1" t="s">
        <v>312</v>
      </c>
    </row>
    <row r="64" spans="1:18" ht="14.25" thickBot="1">
      <c r="B64" s="145" t="s">
        <v>256</v>
      </c>
      <c r="C64" s="145" t="s">
        <v>257</v>
      </c>
      <c r="D64" s="145" t="s">
        <v>258</v>
      </c>
      <c r="E64" s="145" t="s">
        <v>259</v>
      </c>
      <c r="F64" s="145" t="s">
        <v>260</v>
      </c>
      <c r="G64" s="145" t="s">
        <v>261</v>
      </c>
      <c r="H64" s="155"/>
      <c r="I64" s="152" t="s">
        <v>256</v>
      </c>
      <c r="J64" s="153" t="str">
        <f>VLOOKUP($C$4,非表示!$G$2:$K$25,3,FALSE)</f>
        <v>展示タイム</v>
      </c>
      <c r="K64" s="153" t="str">
        <f>VLOOKUP($C$4,非表示!$G$2:$K$25,4,FALSE)</f>
        <v>周回</v>
      </c>
      <c r="L64" s="153" t="str">
        <f>VLOOKUP($C$4,非表示!$G$2:$K$25,5,FALSE)</f>
        <v xml:space="preserve">直線   </v>
      </c>
      <c r="M64" s="153" t="s">
        <v>313</v>
      </c>
      <c r="N64" s="153" t="s">
        <v>318</v>
      </c>
      <c r="O64" s="153" t="s">
        <v>314</v>
      </c>
      <c r="P64" s="153" t="s">
        <v>315</v>
      </c>
      <c r="Q64" s="153" t="s">
        <v>316</v>
      </c>
      <c r="R64" s="154" t="s">
        <v>317</v>
      </c>
    </row>
    <row r="65" spans="2:18" ht="14.25" thickTop="1">
      <c r="B65" s="108">
        <v>1</v>
      </c>
      <c r="C65" s="109" t="s">
        <v>262</v>
      </c>
      <c r="D65" s="143">
        <v>3.2399999999999998E-2</v>
      </c>
      <c r="E65" s="143">
        <v>-1.23E-2</v>
      </c>
      <c r="F65" s="143">
        <v>-1.47E-2</v>
      </c>
      <c r="G65" s="144">
        <v>5.4000000000000003E-3</v>
      </c>
      <c r="H65" s="156">
        <v>-1</v>
      </c>
      <c r="I65" s="34">
        <v>1</v>
      </c>
      <c r="J65" s="11">
        <f>D38</f>
        <v>6.7</v>
      </c>
      <c r="K65" s="11">
        <f>E38</f>
        <v>18.22</v>
      </c>
      <c r="L65" s="11">
        <f>IF($L$64=$F$37,F38,G38)</f>
        <v>7.14</v>
      </c>
      <c r="M65" s="11">
        <f>J65+K65+L65</f>
        <v>32.059999999999995</v>
      </c>
      <c r="N65" s="11">
        <f>M65-$M$71</f>
        <v>-0.66000000000000369</v>
      </c>
      <c r="O65" s="116">
        <f>INDEX(D65:D72, MATCH($N$65, $H$65:$H$72, 1))</f>
        <v>3.2399999999999998E-2</v>
      </c>
      <c r="P65" s="116">
        <f t="shared" ref="P65:R65" si="1">INDEX(E65:E72, MATCH($N$65, $H$65:$H$72, 1))</f>
        <v>-1.23E-2</v>
      </c>
      <c r="Q65" s="116">
        <f t="shared" si="1"/>
        <v>-1.47E-2</v>
      </c>
      <c r="R65" s="128">
        <f t="shared" si="1"/>
        <v>5.4000000000000003E-3</v>
      </c>
    </row>
    <row r="66" spans="2:18">
      <c r="B66" s="34">
        <v>1</v>
      </c>
      <c r="C66" s="117" t="s">
        <v>263</v>
      </c>
      <c r="D66" s="116">
        <v>2.6599999999999999E-2</v>
      </c>
      <c r="E66" s="116">
        <v>-9.7999999999999997E-3</v>
      </c>
      <c r="F66" s="116">
        <v>-1.06E-2</v>
      </c>
      <c r="G66" s="128">
        <v>6.1999999999999998E-3</v>
      </c>
      <c r="H66" s="156">
        <v>-0.6</v>
      </c>
      <c r="I66" s="129">
        <v>2</v>
      </c>
      <c r="J66" s="118">
        <f t="shared" ref="J66:K66" si="2">D39</f>
        <v>6.71</v>
      </c>
      <c r="K66" s="118">
        <f t="shared" si="2"/>
        <v>18.28</v>
      </c>
      <c r="L66" s="118">
        <f t="shared" ref="L66:L70" si="3">IF($L$64=$F$37,F39,G39)</f>
        <v>7.45</v>
      </c>
      <c r="M66" s="118">
        <f t="shared" ref="M66:M70" si="4">J66+K66+L66</f>
        <v>32.440000000000005</v>
      </c>
      <c r="N66" s="118">
        <f t="shared" ref="N66:N70" si="5">M66-$M$71</f>
        <v>-0.27999999999999403</v>
      </c>
      <c r="O66" s="119">
        <f>INDEX(D74:D81, MATCH($N$66, $H$74:$H$81, 1))</f>
        <v>-3.7000000000000002E-3</v>
      </c>
      <c r="P66" s="119">
        <f t="shared" ref="P66:R66" si="6">INDEX(E74:E81, MATCH($N$66, $H$74:$H$81, 1))</f>
        <v>3.7699999999999997E-2</v>
      </c>
      <c r="Q66" s="119">
        <f t="shared" si="6"/>
        <v>-2E-3</v>
      </c>
      <c r="R66" s="130">
        <f t="shared" si="6"/>
        <v>3.1899999999999998E-2</v>
      </c>
    </row>
    <row r="67" spans="2:18">
      <c r="B67" s="34">
        <v>1</v>
      </c>
      <c r="C67" s="117" t="s">
        <v>264</v>
      </c>
      <c r="D67" s="116">
        <v>-1.6E-2</v>
      </c>
      <c r="E67" s="116">
        <v>2.2599999999999999E-2</v>
      </c>
      <c r="F67" s="116">
        <v>-3.0000000000000001E-3</v>
      </c>
      <c r="G67" s="128">
        <v>3.5999999999999999E-3</v>
      </c>
      <c r="H67" s="156">
        <v>-0.4</v>
      </c>
      <c r="I67" s="131">
        <v>3</v>
      </c>
      <c r="J67" s="120">
        <f t="shared" ref="J67:K67" si="7">D40</f>
        <v>6.91</v>
      </c>
      <c r="K67" s="120">
        <f t="shared" si="7"/>
        <v>18.55</v>
      </c>
      <c r="L67" s="120">
        <f t="shared" si="3"/>
        <v>7.48</v>
      </c>
      <c r="M67" s="120">
        <f t="shared" si="4"/>
        <v>32.94</v>
      </c>
      <c r="N67" s="120">
        <f t="shared" si="5"/>
        <v>0.21999999999999886</v>
      </c>
      <c r="O67" s="121">
        <f>INDEX(D83:D90, MATCH($N$67, $H$83:$H$90, 1))</f>
        <v>-7.3200000000000001E-2</v>
      </c>
      <c r="P67" s="121">
        <f t="shared" ref="P67:R67" si="8">INDEX(E83:E90, MATCH($N$67, $H$83:$H$90, 1))</f>
        <v>3.2199999999999999E-2</v>
      </c>
      <c r="Q67" s="121">
        <f t="shared" si="8"/>
        <v>1.4800000000000001E-2</v>
      </c>
      <c r="R67" s="132">
        <f t="shared" si="8"/>
        <v>-2.6200000000000001E-2</v>
      </c>
    </row>
    <row r="68" spans="2:18">
      <c r="B68" s="34">
        <v>1</v>
      </c>
      <c r="C68" s="117" t="s">
        <v>265</v>
      </c>
      <c r="D68" s="116">
        <v>-4.9599999999999998E-2</v>
      </c>
      <c r="E68" s="116">
        <v>-2.3E-3</v>
      </c>
      <c r="F68" s="116">
        <v>3.4700000000000002E-2</v>
      </c>
      <c r="G68" s="128">
        <v>-1.72E-2</v>
      </c>
      <c r="H68" s="156">
        <v>-0.2</v>
      </c>
      <c r="I68" s="133">
        <v>4</v>
      </c>
      <c r="J68" s="126">
        <f t="shared" ref="J68:K68" si="9">D41</f>
        <v>6.76</v>
      </c>
      <c r="K68" s="126">
        <f t="shared" si="9"/>
        <v>18.420000000000002</v>
      </c>
      <c r="L68" s="126">
        <f t="shared" si="3"/>
        <v>7.47</v>
      </c>
      <c r="M68" s="126">
        <f t="shared" si="4"/>
        <v>32.65</v>
      </c>
      <c r="N68" s="126">
        <f t="shared" si="5"/>
        <v>-7.0000000000000284E-2</v>
      </c>
      <c r="O68" s="127">
        <f>INDEX(D92:D99, MATCH($N$68, $H$92:$H$99, 1))</f>
        <v>9.1000000000000004E-3</v>
      </c>
      <c r="P68" s="127">
        <f t="shared" ref="P68:R68" si="10">INDEX(E92:E99, MATCH($N$68, $H$92:$H$99, 1))</f>
        <v>-2.1999999999999999E-2</v>
      </c>
      <c r="Q68" s="127">
        <f t="shared" si="10"/>
        <v>2.8999999999999998E-3</v>
      </c>
      <c r="R68" s="134">
        <f t="shared" si="10"/>
        <v>-0.01</v>
      </c>
    </row>
    <row r="69" spans="2:18">
      <c r="B69" s="34">
        <v>1</v>
      </c>
      <c r="C69" s="11" t="s">
        <v>266</v>
      </c>
      <c r="D69" s="116">
        <v>-6.8400000000000002E-2</v>
      </c>
      <c r="E69" s="116">
        <v>3.1E-2</v>
      </c>
      <c r="F69" s="116">
        <v>-2.2000000000000001E-3</v>
      </c>
      <c r="G69" s="128">
        <v>-3.9600000000000003E-2</v>
      </c>
      <c r="H69" s="156">
        <v>0</v>
      </c>
      <c r="I69" s="135">
        <v>5</v>
      </c>
      <c r="J69" s="122">
        <f t="shared" ref="J69:K69" si="11">D42</f>
        <v>6.77</v>
      </c>
      <c r="K69" s="122">
        <f t="shared" si="11"/>
        <v>18.47</v>
      </c>
      <c r="L69" s="122">
        <f t="shared" si="3"/>
        <v>7.55</v>
      </c>
      <c r="M69" s="122">
        <f t="shared" si="4"/>
        <v>32.79</v>
      </c>
      <c r="N69" s="122">
        <f t="shared" si="5"/>
        <v>7.0000000000000284E-2</v>
      </c>
      <c r="O69" s="123">
        <f>INDEX(D101:D108, MATCH($N$69, $H$101:$H$108, 1))</f>
        <v>-1.35E-2</v>
      </c>
      <c r="P69" s="123">
        <f t="shared" ref="P69:R69" si="12">INDEX(E101:E108, MATCH($N$69, $H$101:$H$108, 1))</f>
        <v>1.5299999999999999E-2</v>
      </c>
      <c r="Q69" s="123">
        <f t="shared" si="12"/>
        <v>-1.7100000000000001E-2</v>
      </c>
      <c r="R69" s="136">
        <f t="shared" si="12"/>
        <v>-1.5299999999999999E-2</v>
      </c>
    </row>
    <row r="70" spans="2:18" ht="14.25" thickBot="1">
      <c r="B70" s="34">
        <v>1</v>
      </c>
      <c r="C70" s="11" t="s">
        <v>267</v>
      </c>
      <c r="D70" s="116">
        <v>-4.3999999999999997E-2</v>
      </c>
      <c r="E70" s="116">
        <v>-4.4499999999999998E-2</v>
      </c>
      <c r="F70" s="116">
        <v>9.1300000000000006E-2</v>
      </c>
      <c r="G70" s="128">
        <v>2.7000000000000001E-3</v>
      </c>
      <c r="H70" s="156">
        <v>0.2</v>
      </c>
      <c r="I70" s="139">
        <v>6</v>
      </c>
      <c r="J70" s="140">
        <f t="shared" ref="J70:K70" si="13">D43</f>
        <v>6.89</v>
      </c>
      <c r="K70" s="140">
        <f t="shared" si="13"/>
        <v>18.93</v>
      </c>
      <c r="L70" s="140">
        <f t="shared" si="3"/>
        <v>7.62</v>
      </c>
      <c r="M70" s="140">
        <f t="shared" si="4"/>
        <v>33.44</v>
      </c>
      <c r="N70" s="140">
        <f t="shared" si="5"/>
        <v>0.71999999999999886</v>
      </c>
      <c r="O70" s="141">
        <f>INDEX(D110:D117, MATCH($N$70, $H$110:$H$117, 1))</f>
        <v>-2.6800000000000001E-2</v>
      </c>
      <c r="P70" s="141">
        <f t="shared" ref="P70:R70" si="14">INDEX(E110:E117, MATCH($N$70, $H$110:$H$117, 1))</f>
        <v>-2.8199999999999999E-2</v>
      </c>
      <c r="Q70" s="141">
        <f t="shared" si="14"/>
        <v>-4.8399999999999999E-2</v>
      </c>
      <c r="R70" s="142">
        <f t="shared" si="14"/>
        <v>-0.10340000000000001</v>
      </c>
    </row>
    <row r="71" spans="2:18" ht="14.25" thickBot="1">
      <c r="B71" s="34">
        <v>1</v>
      </c>
      <c r="C71" s="11" t="s">
        <v>268</v>
      </c>
      <c r="D71" s="116">
        <v>-0.15790000000000001</v>
      </c>
      <c r="E71" s="116">
        <v>0.14030000000000001</v>
      </c>
      <c r="F71" s="116">
        <v>5.7500000000000002E-2</v>
      </c>
      <c r="G71" s="128">
        <v>3.9899999999999998E-2</v>
      </c>
      <c r="H71" s="156">
        <v>0.4</v>
      </c>
      <c r="L71" s="150" t="s">
        <v>319</v>
      </c>
      <c r="M71" s="151">
        <f>AVERAGE(M65:M70)</f>
        <v>32.72</v>
      </c>
    </row>
    <row r="72" spans="2:18">
      <c r="B72" s="34">
        <v>1</v>
      </c>
      <c r="C72" s="11" t="s">
        <v>269</v>
      </c>
      <c r="D72" s="116">
        <v>-0.1246</v>
      </c>
      <c r="E72" s="116">
        <v>4.0300000000000002E-2</v>
      </c>
      <c r="F72" s="116">
        <v>0.1242</v>
      </c>
      <c r="G72" s="128">
        <v>3.9899999999999998E-2</v>
      </c>
      <c r="H72" s="155">
        <v>0.6</v>
      </c>
    </row>
    <row r="73" spans="2:18">
      <c r="B73" s="146"/>
      <c r="C73" s="147"/>
      <c r="D73" s="148"/>
      <c r="E73" s="148"/>
      <c r="F73" s="148"/>
      <c r="G73" s="149"/>
      <c r="H73" s="155"/>
    </row>
    <row r="74" spans="2:18">
      <c r="B74" s="129">
        <v>2</v>
      </c>
      <c r="C74" s="118" t="s">
        <v>262</v>
      </c>
      <c r="D74" s="119">
        <v>0.1052</v>
      </c>
      <c r="E74" s="119">
        <v>-2.1499999999999998E-2</v>
      </c>
      <c r="F74" s="119">
        <v>4.8999999999999998E-3</v>
      </c>
      <c r="G74" s="130">
        <v>8.8599999999999998E-2</v>
      </c>
      <c r="H74" s="156">
        <v>-0.61</v>
      </c>
    </row>
    <row r="75" spans="2:18">
      <c r="B75" s="129">
        <v>2</v>
      </c>
      <c r="C75" s="118" t="s">
        <v>263</v>
      </c>
      <c r="D75" s="119">
        <v>3.7100000000000001E-2</v>
      </c>
      <c r="E75" s="119">
        <v>2.75E-2</v>
      </c>
      <c r="F75" s="119">
        <v>-4.3700000000000003E-2</v>
      </c>
      <c r="G75" s="130">
        <v>2.0899999999999998E-2</v>
      </c>
      <c r="H75" s="156">
        <v>-0.6</v>
      </c>
    </row>
    <row r="76" spans="2:18">
      <c r="B76" s="129">
        <v>2</v>
      </c>
      <c r="C76" s="118" t="s">
        <v>264</v>
      </c>
      <c r="D76" s="119">
        <v>-3.7000000000000002E-3</v>
      </c>
      <c r="E76" s="119">
        <v>3.7699999999999997E-2</v>
      </c>
      <c r="F76" s="119">
        <v>-2E-3</v>
      </c>
      <c r="G76" s="130">
        <v>3.1899999999999998E-2</v>
      </c>
      <c r="H76" s="156">
        <v>-0.4</v>
      </c>
    </row>
    <row r="77" spans="2:18">
      <c r="B77" s="129">
        <v>2</v>
      </c>
      <c r="C77" s="118" t="s">
        <v>265</v>
      </c>
      <c r="D77" s="119">
        <v>1.3599999999999999E-2</v>
      </c>
      <c r="E77" s="119">
        <v>2.3999999999999998E-3</v>
      </c>
      <c r="F77" s="119">
        <v>1.23E-2</v>
      </c>
      <c r="G77" s="130">
        <v>2.8299999999999999E-2</v>
      </c>
      <c r="H77" s="156">
        <v>-0.2</v>
      </c>
      <c r="K77" s="2"/>
    </row>
    <row r="78" spans="2:18">
      <c r="B78" s="129">
        <v>2</v>
      </c>
      <c r="C78" s="118" t="s">
        <v>266</v>
      </c>
      <c r="D78" s="119">
        <v>-1.72E-2</v>
      </c>
      <c r="E78" s="119">
        <v>1.0200000000000001E-2</v>
      </c>
      <c r="F78" s="119">
        <v>-1.46E-2</v>
      </c>
      <c r="G78" s="130">
        <v>-2.1700000000000001E-2</v>
      </c>
      <c r="H78" s="156">
        <v>0</v>
      </c>
      <c r="K78" s="2"/>
    </row>
    <row r="79" spans="2:18">
      <c r="B79" s="129">
        <v>2</v>
      </c>
      <c r="C79" s="118" t="s">
        <v>267</v>
      </c>
      <c r="D79" s="119">
        <v>-7.4899999999999994E-2</v>
      </c>
      <c r="E79" s="119">
        <v>-3.1199999999999999E-2</v>
      </c>
      <c r="F79" s="119">
        <v>1.7100000000000001E-2</v>
      </c>
      <c r="G79" s="130">
        <v>-8.8999999999999996E-2</v>
      </c>
      <c r="H79" s="156">
        <v>0.2</v>
      </c>
      <c r="K79" s="2"/>
    </row>
    <row r="80" spans="2:18">
      <c r="B80" s="129">
        <v>2</v>
      </c>
      <c r="C80" s="118" t="s">
        <v>268</v>
      </c>
      <c r="D80" s="119">
        <v>-3.4099999999999998E-2</v>
      </c>
      <c r="E80" s="119">
        <v>-5.2200000000000003E-2</v>
      </c>
      <c r="F80" s="119">
        <v>3.0599999999999999E-2</v>
      </c>
      <c r="G80" s="130">
        <v>-5.57E-2</v>
      </c>
      <c r="H80" s="156">
        <v>0.4</v>
      </c>
      <c r="K80" s="2"/>
    </row>
    <row r="81" spans="2:11">
      <c r="B81" s="129">
        <v>2</v>
      </c>
      <c r="C81" s="118" t="s">
        <v>269</v>
      </c>
      <c r="D81" s="119">
        <v>-8.8999999999999996E-2</v>
      </c>
      <c r="E81" s="119">
        <v>-9.9900000000000003E-2</v>
      </c>
      <c r="F81" s="119">
        <v>4.9500000000000002E-2</v>
      </c>
      <c r="G81" s="130">
        <v>-0.1394</v>
      </c>
      <c r="H81" s="155">
        <v>0.6</v>
      </c>
      <c r="K81" s="2"/>
    </row>
    <row r="82" spans="2:11">
      <c r="B82" s="146"/>
      <c r="C82" s="147"/>
      <c r="D82" s="148"/>
      <c r="E82" s="148"/>
      <c r="F82" s="148"/>
      <c r="G82" s="149"/>
      <c r="H82" s="155"/>
      <c r="K82" s="2"/>
    </row>
    <row r="83" spans="2:11">
      <c r="B83" s="131">
        <v>3</v>
      </c>
      <c r="C83" s="120" t="s">
        <v>262</v>
      </c>
      <c r="D83" s="121">
        <v>0.17050000000000001</v>
      </c>
      <c r="E83" s="121">
        <v>-3.7100000000000001E-2</v>
      </c>
      <c r="F83" s="121">
        <v>-5.8599999999999999E-2</v>
      </c>
      <c r="G83" s="132">
        <v>7.4700000000000003E-2</v>
      </c>
      <c r="H83" s="156">
        <v>-0.61</v>
      </c>
      <c r="K83" s="2"/>
    </row>
    <row r="84" spans="2:11">
      <c r="B84" s="131">
        <v>3</v>
      </c>
      <c r="C84" s="120" t="s">
        <v>263</v>
      </c>
      <c r="D84" s="121">
        <v>6.7799999999999999E-2</v>
      </c>
      <c r="E84" s="121">
        <v>-1.18E-2</v>
      </c>
      <c r="F84" s="121">
        <v>1.01E-2</v>
      </c>
      <c r="G84" s="132">
        <v>6.6100000000000006E-2</v>
      </c>
      <c r="H84" s="156">
        <v>-0.6</v>
      </c>
    </row>
    <row r="85" spans="2:11">
      <c r="B85" s="131">
        <v>3</v>
      </c>
      <c r="C85" s="120" t="s">
        <v>264</v>
      </c>
      <c r="D85" s="121">
        <v>3.73E-2</v>
      </c>
      <c r="E85" s="121">
        <v>9.4000000000000004E-3</v>
      </c>
      <c r="F85" s="121">
        <v>1.21E-2</v>
      </c>
      <c r="G85" s="132">
        <v>5.8700000000000002E-2</v>
      </c>
      <c r="H85" s="156">
        <v>-0.4</v>
      </c>
    </row>
    <row r="86" spans="2:11">
      <c r="B86" s="131">
        <v>3</v>
      </c>
      <c r="C86" s="120" t="s">
        <v>265</v>
      </c>
      <c r="D86" s="121">
        <v>2.2599999999999999E-2</v>
      </c>
      <c r="E86" s="121">
        <v>3.3E-3</v>
      </c>
      <c r="F86" s="121">
        <v>-1.29E-2</v>
      </c>
      <c r="G86" s="132">
        <v>1.2999999999999999E-2</v>
      </c>
      <c r="H86" s="156">
        <v>-0.2</v>
      </c>
    </row>
    <row r="87" spans="2:11">
      <c r="B87" s="131">
        <v>3</v>
      </c>
      <c r="C87" s="120" t="s">
        <v>266</v>
      </c>
      <c r="D87" s="121">
        <v>-2.5000000000000001E-2</v>
      </c>
      <c r="E87" s="121">
        <v>-6.0000000000000001E-3</v>
      </c>
      <c r="F87" s="121">
        <v>9.7999999999999997E-3</v>
      </c>
      <c r="G87" s="132">
        <v>-2.1299999999999999E-2</v>
      </c>
      <c r="H87" s="156">
        <v>0</v>
      </c>
    </row>
    <row r="88" spans="2:11">
      <c r="B88" s="131">
        <v>3</v>
      </c>
      <c r="C88" s="120" t="s">
        <v>267</v>
      </c>
      <c r="D88" s="121">
        <v>-7.3200000000000001E-2</v>
      </c>
      <c r="E88" s="121">
        <v>3.2199999999999999E-2</v>
      </c>
      <c r="F88" s="121">
        <v>1.4800000000000001E-2</v>
      </c>
      <c r="G88" s="132">
        <v>-2.6200000000000001E-2</v>
      </c>
      <c r="H88" s="156">
        <v>0.2</v>
      </c>
    </row>
    <row r="89" spans="2:11">
      <c r="B89" s="131">
        <v>3</v>
      </c>
      <c r="C89" s="120" t="s">
        <v>268</v>
      </c>
      <c r="D89" s="121">
        <v>-2.06E-2</v>
      </c>
      <c r="E89" s="121">
        <v>-2.8899999999999999E-2</v>
      </c>
      <c r="F89" s="121">
        <v>-3.2000000000000002E-3</v>
      </c>
      <c r="G89" s="132">
        <v>-5.2600000000000001E-2</v>
      </c>
      <c r="H89" s="156">
        <v>0.4</v>
      </c>
    </row>
    <row r="90" spans="2:11">
      <c r="B90" s="131">
        <v>3</v>
      </c>
      <c r="C90" s="120" t="s">
        <v>269</v>
      </c>
      <c r="D90" s="121">
        <v>-8.0600000000000005E-2</v>
      </c>
      <c r="E90" s="121">
        <v>2.8999999999999998E-3</v>
      </c>
      <c r="F90" s="121">
        <v>-1.2699999999999999E-2</v>
      </c>
      <c r="G90" s="132">
        <v>-9.0399999999999994E-2</v>
      </c>
      <c r="H90" s="155">
        <v>0.6</v>
      </c>
    </row>
    <row r="91" spans="2:11">
      <c r="B91" s="146"/>
      <c r="C91" s="147"/>
      <c r="D91" s="148"/>
      <c r="E91" s="148"/>
      <c r="F91" s="148"/>
      <c r="G91" s="149"/>
      <c r="H91" s="155"/>
    </row>
    <row r="92" spans="2:11">
      <c r="B92" s="133">
        <v>4</v>
      </c>
      <c r="C92" s="126" t="s">
        <v>262</v>
      </c>
      <c r="D92" s="127">
        <v>7.8799999999999995E-2</v>
      </c>
      <c r="E92" s="127">
        <v>5.7000000000000002E-2</v>
      </c>
      <c r="F92" s="127">
        <v>8.0999999999999996E-3</v>
      </c>
      <c r="G92" s="134">
        <v>0.14380000000000001</v>
      </c>
      <c r="H92" s="156">
        <v>-0.61</v>
      </c>
    </row>
    <row r="93" spans="2:11">
      <c r="B93" s="133">
        <v>4</v>
      </c>
      <c r="C93" s="126" t="s">
        <v>263</v>
      </c>
      <c r="D93" s="127">
        <v>-1.49E-2</v>
      </c>
      <c r="E93" s="127">
        <v>7.4300000000000005E-2</v>
      </c>
      <c r="F93" s="127">
        <v>-2.86E-2</v>
      </c>
      <c r="G93" s="134">
        <v>3.0800000000000001E-2</v>
      </c>
      <c r="H93" s="156">
        <v>-0.6</v>
      </c>
    </row>
    <row r="94" spans="2:11">
      <c r="B94" s="133">
        <v>4</v>
      </c>
      <c r="C94" s="126" t="s">
        <v>264</v>
      </c>
      <c r="D94" s="127">
        <v>6.4199999999999993E-2</v>
      </c>
      <c r="E94" s="127">
        <v>4.4999999999999997E-3</v>
      </c>
      <c r="F94" s="127">
        <v>-7.0000000000000001E-3</v>
      </c>
      <c r="G94" s="134">
        <v>6.1699999999999998E-2</v>
      </c>
      <c r="H94" s="156">
        <v>-0.4</v>
      </c>
    </row>
    <row r="95" spans="2:11">
      <c r="B95" s="133">
        <v>4</v>
      </c>
      <c r="C95" s="126" t="s">
        <v>265</v>
      </c>
      <c r="D95" s="127">
        <v>9.1000000000000004E-3</v>
      </c>
      <c r="E95" s="127">
        <v>-2.1999999999999999E-2</v>
      </c>
      <c r="F95" s="127">
        <v>2.8999999999999998E-3</v>
      </c>
      <c r="G95" s="134">
        <v>-0.01</v>
      </c>
      <c r="H95" s="156">
        <v>-0.2</v>
      </c>
    </row>
    <row r="96" spans="2:11">
      <c r="B96" s="133">
        <v>4</v>
      </c>
      <c r="C96" s="126" t="s">
        <v>266</v>
      </c>
      <c r="D96" s="127">
        <v>-1.7000000000000001E-2</v>
      </c>
      <c r="E96" s="127">
        <v>-6.4999999999999997E-3</v>
      </c>
      <c r="F96" s="127">
        <v>3.5700000000000003E-2</v>
      </c>
      <c r="G96" s="134">
        <v>1.21E-2</v>
      </c>
      <c r="H96" s="156">
        <v>0</v>
      </c>
    </row>
    <row r="97" spans="2:8">
      <c r="B97" s="133">
        <v>4</v>
      </c>
      <c r="C97" s="126" t="s">
        <v>267</v>
      </c>
      <c r="D97" s="127">
        <v>-4.4999999999999997E-3</v>
      </c>
      <c r="E97" s="127">
        <v>1.43E-2</v>
      </c>
      <c r="F97" s="127">
        <v>-4.1799999999999997E-2</v>
      </c>
      <c r="G97" s="134">
        <v>-3.2000000000000001E-2</v>
      </c>
      <c r="H97" s="156">
        <v>0.2</v>
      </c>
    </row>
    <row r="98" spans="2:8">
      <c r="B98" s="133">
        <v>4</v>
      </c>
      <c r="C98" s="126" t="s">
        <v>268</v>
      </c>
      <c r="D98" s="127">
        <v>-4.8399999999999999E-2</v>
      </c>
      <c r="E98" s="127">
        <v>-4.3400000000000001E-2</v>
      </c>
      <c r="F98" s="127">
        <v>2.5999999999999999E-2</v>
      </c>
      <c r="G98" s="134">
        <v>-6.5799999999999997E-2</v>
      </c>
      <c r="H98" s="156">
        <v>0.4</v>
      </c>
    </row>
    <row r="99" spans="2:8">
      <c r="B99" s="133">
        <v>4</v>
      </c>
      <c r="C99" s="126" t="s">
        <v>269</v>
      </c>
      <c r="D99" s="127">
        <v>-5.0500000000000003E-2</v>
      </c>
      <c r="E99" s="127">
        <v>-1.54E-2</v>
      </c>
      <c r="F99" s="127">
        <v>-3.5000000000000001E-3</v>
      </c>
      <c r="G99" s="134">
        <v>-6.93E-2</v>
      </c>
      <c r="H99" s="155">
        <v>0.6</v>
      </c>
    </row>
    <row r="100" spans="2:8">
      <c r="B100" s="146"/>
      <c r="C100" s="147"/>
      <c r="D100" s="148"/>
      <c r="E100" s="148"/>
      <c r="F100" s="148"/>
      <c r="G100" s="149"/>
      <c r="H100" s="155"/>
    </row>
    <row r="101" spans="2:8">
      <c r="B101" s="135">
        <v>5</v>
      </c>
      <c r="C101" s="122" t="s">
        <v>262</v>
      </c>
      <c r="D101" s="123">
        <v>2.4E-2</v>
      </c>
      <c r="E101" s="123">
        <v>-1.7399999999999999E-2</v>
      </c>
      <c r="F101" s="123">
        <v>0.1162</v>
      </c>
      <c r="G101" s="136">
        <v>0.12280000000000001</v>
      </c>
      <c r="H101" s="156">
        <v>-0.61</v>
      </c>
    </row>
    <row r="102" spans="2:8">
      <c r="B102" s="135">
        <v>5</v>
      </c>
      <c r="C102" s="122" t="s">
        <v>263</v>
      </c>
      <c r="D102" s="123">
        <v>4.65E-2</v>
      </c>
      <c r="E102" s="123">
        <v>5.7099999999999998E-2</v>
      </c>
      <c r="F102" s="123">
        <v>-3.09E-2</v>
      </c>
      <c r="G102" s="136">
        <v>7.2700000000000001E-2</v>
      </c>
      <c r="H102" s="156">
        <v>-0.6</v>
      </c>
    </row>
    <row r="103" spans="2:8">
      <c r="B103" s="135">
        <v>5</v>
      </c>
      <c r="C103" s="122" t="s">
        <v>264</v>
      </c>
      <c r="D103" s="123">
        <v>3.8100000000000002E-2</v>
      </c>
      <c r="E103" s="123">
        <v>3.2500000000000001E-2</v>
      </c>
      <c r="F103" s="123">
        <v>-3.3300000000000003E-2</v>
      </c>
      <c r="G103" s="136">
        <v>3.7199999999999997E-2</v>
      </c>
      <c r="H103" s="156">
        <v>-0.4</v>
      </c>
    </row>
    <row r="104" spans="2:8">
      <c r="B104" s="135">
        <v>5</v>
      </c>
      <c r="C104" s="122" t="s">
        <v>265</v>
      </c>
      <c r="D104" s="123">
        <v>1.46E-2</v>
      </c>
      <c r="E104" s="123">
        <v>-8.0999999999999996E-3</v>
      </c>
      <c r="F104" s="123">
        <v>-1.18E-2</v>
      </c>
      <c r="G104" s="136">
        <v>-5.3E-3</v>
      </c>
      <c r="H104" s="156">
        <v>-0.2</v>
      </c>
    </row>
    <row r="105" spans="2:8">
      <c r="B105" s="135">
        <v>5</v>
      </c>
      <c r="C105" s="122" t="s">
        <v>266</v>
      </c>
      <c r="D105" s="123">
        <v>-1.35E-2</v>
      </c>
      <c r="E105" s="123">
        <v>1.5299999999999999E-2</v>
      </c>
      <c r="F105" s="123">
        <v>-1.7100000000000001E-2</v>
      </c>
      <c r="G105" s="136">
        <v>-1.5299999999999999E-2</v>
      </c>
      <c r="H105" s="156">
        <v>0</v>
      </c>
    </row>
    <row r="106" spans="2:8">
      <c r="B106" s="135">
        <v>5</v>
      </c>
      <c r="C106" s="122" t="s">
        <v>267</v>
      </c>
      <c r="D106" s="123">
        <v>-2.1299999999999999E-2</v>
      </c>
      <c r="E106" s="123">
        <v>-1.41E-2</v>
      </c>
      <c r="F106" s="123">
        <v>-1.2200000000000001E-2</v>
      </c>
      <c r="G106" s="136">
        <v>-4.7699999999999999E-2</v>
      </c>
      <c r="H106" s="156">
        <v>0.2</v>
      </c>
    </row>
    <row r="107" spans="2:8">
      <c r="B107" s="135">
        <v>5</v>
      </c>
      <c r="C107" s="122" t="s">
        <v>268</v>
      </c>
      <c r="D107" s="123">
        <v>-3.15E-2</v>
      </c>
      <c r="E107" s="123">
        <v>-3.9399999999999998E-2</v>
      </c>
      <c r="F107" s="123">
        <v>7.3899999999999993E-2</v>
      </c>
      <c r="G107" s="136">
        <v>2.8999999999999998E-3</v>
      </c>
      <c r="H107" s="156">
        <v>0.4</v>
      </c>
    </row>
    <row r="108" spans="2:8">
      <c r="B108" s="135">
        <v>5</v>
      </c>
      <c r="C108" s="122" t="s">
        <v>269</v>
      </c>
      <c r="D108" s="123">
        <v>-2.53E-2</v>
      </c>
      <c r="E108" s="123">
        <v>-2.9399999999999999E-2</v>
      </c>
      <c r="F108" s="123">
        <v>3.1199999999999999E-2</v>
      </c>
      <c r="G108" s="136">
        <v>-2.35E-2</v>
      </c>
      <c r="H108" s="155">
        <v>0.6</v>
      </c>
    </row>
    <row r="109" spans="2:8">
      <c r="B109" s="146"/>
      <c r="C109" s="147"/>
      <c r="D109" s="148"/>
      <c r="E109" s="148"/>
      <c r="F109" s="148"/>
      <c r="G109" s="149"/>
      <c r="H109" s="155"/>
    </row>
    <row r="110" spans="2:8">
      <c r="B110" s="137">
        <v>6</v>
      </c>
      <c r="C110" s="124" t="s">
        <v>262</v>
      </c>
      <c r="D110" s="125">
        <v>8.6599999999999996E-2</v>
      </c>
      <c r="E110" s="125">
        <v>3.4299999999999997E-2</v>
      </c>
      <c r="F110" s="125">
        <v>2.5100000000000001E-2</v>
      </c>
      <c r="G110" s="138">
        <v>0.1459</v>
      </c>
      <c r="H110" s="156">
        <v>-0.61</v>
      </c>
    </row>
    <row r="111" spans="2:8">
      <c r="B111" s="137">
        <v>6</v>
      </c>
      <c r="C111" s="124" t="s">
        <v>263</v>
      </c>
      <c r="D111" s="125">
        <v>1.04E-2</v>
      </c>
      <c r="E111" s="125">
        <v>4.6600000000000003E-2</v>
      </c>
      <c r="F111" s="125">
        <v>-9.1999999999999998E-3</v>
      </c>
      <c r="G111" s="138">
        <v>4.7899999999999998E-2</v>
      </c>
      <c r="H111" s="156">
        <v>-0.6</v>
      </c>
    </row>
    <row r="112" spans="2:8">
      <c r="B112" s="137">
        <v>6</v>
      </c>
      <c r="C112" s="124" t="s">
        <v>264</v>
      </c>
      <c r="D112" s="125">
        <v>2.8400000000000002E-2</v>
      </c>
      <c r="E112" s="125">
        <v>7.4399999999999994E-2</v>
      </c>
      <c r="F112" s="125">
        <v>-1.7999999999999999E-2</v>
      </c>
      <c r="G112" s="138">
        <v>8.48E-2</v>
      </c>
      <c r="H112" s="156">
        <v>-0.4</v>
      </c>
    </row>
    <row r="113" spans="2:8">
      <c r="B113" s="137">
        <v>6</v>
      </c>
      <c r="C113" s="124" t="s">
        <v>265</v>
      </c>
      <c r="D113" s="125">
        <v>5.4000000000000003E-3</v>
      </c>
      <c r="E113" s="125">
        <v>-1.8599999999999998E-2</v>
      </c>
      <c r="F113" s="125">
        <v>2.3199999999999998E-2</v>
      </c>
      <c r="G113" s="138">
        <v>0.01</v>
      </c>
      <c r="H113" s="156">
        <v>-0.2</v>
      </c>
    </row>
    <row r="114" spans="2:8">
      <c r="B114" s="137">
        <v>6</v>
      </c>
      <c r="C114" s="124" t="s">
        <v>266</v>
      </c>
      <c r="D114" s="125">
        <v>-2.3999999999999998E-3</v>
      </c>
      <c r="E114" s="125">
        <v>-2.2100000000000002E-2</v>
      </c>
      <c r="F114" s="125">
        <v>8.5000000000000006E-3</v>
      </c>
      <c r="G114" s="138">
        <v>-1.6E-2</v>
      </c>
      <c r="H114" s="156">
        <v>0</v>
      </c>
    </row>
    <row r="115" spans="2:8">
      <c r="B115" s="137">
        <v>6</v>
      </c>
      <c r="C115" s="124" t="s">
        <v>267</v>
      </c>
      <c r="D115" s="125">
        <v>-2.87E-2</v>
      </c>
      <c r="E115" s="125">
        <v>-2.2599999999999999E-2</v>
      </c>
      <c r="F115" s="125">
        <v>1.6500000000000001E-2</v>
      </c>
      <c r="G115" s="138">
        <v>-3.4799999999999998E-2</v>
      </c>
      <c r="H115" s="156">
        <v>0.2</v>
      </c>
    </row>
    <row r="116" spans="2:8">
      <c r="B116" s="137">
        <v>6</v>
      </c>
      <c r="C116" s="124" t="s">
        <v>268</v>
      </c>
      <c r="D116" s="125">
        <v>-2.12E-2</v>
      </c>
      <c r="E116" s="125">
        <v>-5.1000000000000004E-3</v>
      </c>
      <c r="F116" s="125">
        <v>-6.4000000000000003E-3</v>
      </c>
      <c r="G116" s="138">
        <v>-3.27E-2</v>
      </c>
      <c r="H116" s="156">
        <v>0.4</v>
      </c>
    </row>
    <row r="117" spans="2:8" ht="14.25" thickBot="1">
      <c r="B117" s="139">
        <v>6</v>
      </c>
      <c r="C117" s="140" t="s">
        <v>269</v>
      </c>
      <c r="D117" s="141">
        <v>-2.6800000000000001E-2</v>
      </c>
      <c r="E117" s="141">
        <v>-2.8199999999999999E-2</v>
      </c>
      <c r="F117" s="141">
        <v>-4.8399999999999999E-2</v>
      </c>
      <c r="G117" s="142">
        <v>-0.10340000000000001</v>
      </c>
      <c r="H117" s="155">
        <v>0.6</v>
      </c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8"/>
  <sheetViews>
    <sheetView workbookViewId="0">
      <selection activeCell="K15" sqref="K15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46137</v>
      </c>
      <c r="D3" s="10" t="str">
        <f>E3&amp;E4&amp;E5</f>
        <v>20260425KRY06</v>
      </c>
      <c r="E3" s="9" t="str">
        <f>TEXT(C3,"yyyymmdd")</f>
        <v>20260425</v>
      </c>
    </row>
    <row r="4" spans="1:8">
      <c r="B4" s="6" t="s">
        <v>3</v>
      </c>
      <c r="C4" s="3" t="s">
        <v>37</v>
      </c>
      <c r="E4" s="1" t="str">
        <f>VLOOKUP(C4,非表示!D:E,2,FALSE)</f>
        <v>KRY</v>
      </c>
    </row>
    <row r="5" spans="1:8" ht="14.25" thickBot="1">
      <c r="B5" s="7" t="s">
        <v>2</v>
      </c>
      <c r="C5" s="4" t="s">
        <v>9</v>
      </c>
      <c r="E5" s="1" t="str">
        <f>C5</f>
        <v>06</v>
      </c>
    </row>
    <row r="7" spans="1:8" ht="14.25" thickBot="1">
      <c r="A7" s="1" t="s">
        <v>74</v>
      </c>
    </row>
    <row r="8" spans="1:8">
      <c r="B8" s="27" t="s">
        <v>66</v>
      </c>
      <c r="C8" s="21" t="str">
        <f>$D$3</f>
        <v>20260425KRY06</v>
      </c>
      <c r="D8" s="17" t="str">
        <f t="shared" ref="D8:H8" si="0">$D$3</f>
        <v>20260425KRY06</v>
      </c>
      <c r="E8" s="17" t="str">
        <f t="shared" si="0"/>
        <v>20260425KRY06</v>
      </c>
      <c r="F8" s="17" t="str">
        <f t="shared" si="0"/>
        <v>20260425KRY06</v>
      </c>
      <c r="G8" s="17" t="str">
        <f t="shared" si="0"/>
        <v>20260425KRY06</v>
      </c>
      <c r="H8" s="18" t="str">
        <f t="shared" si="0"/>
        <v>20260425KRY06</v>
      </c>
    </row>
    <row r="9" spans="1:8">
      <c r="B9" s="28" t="s">
        <v>67</v>
      </c>
      <c r="C9" s="22">
        <v>1</v>
      </c>
      <c r="D9" s="19">
        <v>2</v>
      </c>
      <c r="E9" s="19">
        <v>3</v>
      </c>
      <c r="F9" s="19">
        <v>4</v>
      </c>
      <c r="G9" s="19">
        <v>5</v>
      </c>
      <c r="H9" s="20">
        <v>6</v>
      </c>
    </row>
    <row r="10" spans="1:8">
      <c r="B10" s="28" t="s">
        <v>68</v>
      </c>
      <c r="C10" s="22">
        <f>C22</f>
        <v>4856</v>
      </c>
      <c r="D10" s="19">
        <f t="shared" ref="D10:H10" si="1">D22</f>
        <v>3659</v>
      </c>
      <c r="E10" s="19">
        <f t="shared" si="1"/>
        <v>5303</v>
      </c>
      <c r="F10" s="19">
        <f t="shared" si="1"/>
        <v>5137</v>
      </c>
      <c r="G10" s="19">
        <f t="shared" si="1"/>
        <v>4219</v>
      </c>
      <c r="H10" s="20">
        <f t="shared" si="1"/>
        <v>3943</v>
      </c>
    </row>
    <row r="11" spans="1:8">
      <c r="B11" s="28" t="s">
        <v>69</v>
      </c>
      <c r="C11" s="22">
        <f>C24</f>
        <v>6.7</v>
      </c>
      <c r="D11" s="19">
        <f t="shared" ref="D11:H11" si="2">D24</f>
        <v>6.71</v>
      </c>
      <c r="E11" s="19">
        <f t="shared" si="2"/>
        <v>6.91</v>
      </c>
      <c r="F11" s="19">
        <f t="shared" si="2"/>
        <v>6.76</v>
      </c>
      <c r="G11" s="19">
        <f t="shared" si="2"/>
        <v>6.77</v>
      </c>
      <c r="H11" s="20">
        <f t="shared" si="2"/>
        <v>6.89</v>
      </c>
    </row>
    <row r="12" spans="1:8">
      <c r="B12" s="28" t="s">
        <v>70</v>
      </c>
      <c r="C12" s="22">
        <f>VALUE(SUBSTITUTE(C25, "F", "-0"))</f>
        <v>18.22</v>
      </c>
      <c r="D12" s="19">
        <f t="shared" ref="D12:H12" si="3">VALUE(SUBSTITUTE(D25, "F", "-0"))</f>
        <v>18.28</v>
      </c>
      <c r="E12" s="19">
        <f t="shared" si="3"/>
        <v>18.55</v>
      </c>
      <c r="F12" s="19">
        <f t="shared" si="3"/>
        <v>18.420000000000002</v>
      </c>
      <c r="G12" s="19">
        <f t="shared" si="3"/>
        <v>18.47</v>
      </c>
      <c r="H12" s="20">
        <f t="shared" si="3"/>
        <v>18.93</v>
      </c>
    </row>
    <row r="13" spans="1:8">
      <c r="B13" s="28" t="s">
        <v>71</v>
      </c>
      <c r="C13" s="22">
        <f t="shared" ref="C13:H14" si="4">C26</f>
        <v>4.24</v>
      </c>
      <c r="D13" s="19">
        <f t="shared" si="4"/>
        <v>4.51</v>
      </c>
      <c r="E13" s="19">
        <f t="shared" si="4"/>
        <v>4.5</v>
      </c>
      <c r="F13" s="19">
        <f t="shared" si="4"/>
        <v>4.67</v>
      </c>
      <c r="G13" s="19">
        <f t="shared" si="4"/>
        <v>5.03</v>
      </c>
      <c r="H13" s="20">
        <f t="shared" si="4"/>
        <v>4.6399999999999997</v>
      </c>
    </row>
    <row r="14" spans="1:8">
      <c r="B14" s="28" t="s">
        <v>72</v>
      </c>
      <c r="C14" s="22">
        <f t="shared" si="4"/>
        <v>7.14</v>
      </c>
      <c r="D14" s="19">
        <f t="shared" si="4"/>
        <v>7.45</v>
      </c>
      <c r="E14" s="19">
        <f t="shared" si="4"/>
        <v>7.48</v>
      </c>
      <c r="F14" s="19">
        <f t="shared" si="4"/>
        <v>7.47</v>
      </c>
      <c r="G14" s="19">
        <f t="shared" si="4"/>
        <v>7.55</v>
      </c>
      <c r="H14" s="20">
        <f t="shared" si="4"/>
        <v>7.62</v>
      </c>
    </row>
    <row r="15" spans="1:8" ht="14.25" thickBot="1">
      <c r="B15" s="29" t="s">
        <v>73</v>
      </c>
      <c r="C15" s="23">
        <f>IF(LEFT(C28,1)="F", -VALUE(MID(C28,2,10)), VALUE(C28))</f>
        <v>0.16</v>
      </c>
      <c r="D15" s="23">
        <f t="shared" ref="D15:H15" si="5">IF(LEFT(D28,1)="F", -VALUE(MID(D28,2,10)), VALUE(D28))</f>
        <v>0.15</v>
      </c>
      <c r="E15" s="23">
        <f t="shared" si="5"/>
        <v>0.16</v>
      </c>
      <c r="F15" s="23">
        <f t="shared" si="5"/>
        <v>-0.05</v>
      </c>
      <c r="G15" s="23">
        <f t="shared" si="5"/>
        <v>0.01</v>
      </c>
      <c r="H15" s="23">
        <f t="shared" si="5"/>
        <v>7.0000000000000007E-2</v>
      </c>
    </row>
    <row r="21" spans="1:8" ht="14.25" thickBot="1">
      <c r="A21" s="1" t="s">
        <v>75</v>
      </c>
    </row>
    <row r="22" spans="1:8">
      <c r="B22" s="5" t="s">
        <v>82</v>
      </c>
      <c r="C22" s="24">
        <v>4856</v>
      </c>
      <c r="D22" s="12">
        <v>3659</v>
      </c>
      <c r="E22" s="12">
        <v>5303</v>
      </c>
      <c r="F22" s="12">
        <v>5137</v>
      </c>
      <c r="G22" s="12">
        <v>4219</v>
      </c>
      <c r="H22" s="13">
        <v>3943</v>
      </c>
    </row>
    <row r="23" spans="1:8">
      <c r="B23" s="6" t="s">
        <v>76</v>
      </c>
      <c r="C23" s="25">
        <v>1</v>
      </c>
      <c r="D23" s="11">
        <v>2</v>
      </c>
      <c r="E23" s="11">
        <v>3</v>
      </c>
      <c r="F23" s="11">
        <v>4</v>
      </c>
      <c r="G23" s="11">
        <v>5</v>
      </c>
      <c r="H23" s="14">
        <v>6</v>
      </c>
    </row>
    <row r="24" spans="1:8">
      <c r="B24" s="6" t="s">
        <v>77</v>
      </c>
      <c r="C24" s="25">
        <v>6.7</v>
      </c>
      <c r="D24" s="11">
        <v>6.71</v>
      </c>
      <c r="E24" s="11">
        <v>6.91</v>
      </c>
      <c r="F24" s="11">
        <v>6.76</v>
      </c>
      <c r="G24" s="11">
        <v>6.77</v>
      </c>
      <c r="H24" s="14">
        <v>6.89</v>
      </c>
    </row>
    <row r="25" spans="1:8">
      <c r="B25" s="6" t="s">
        <v>79</v>
      </c>
      <c r="C25" s="25">
        <v>18.22</v>
      </c>
      <c r="D25" s="11">
        <v>18.28</v>
      </c>
      <c r="E25" s="11">
        <v>18.55</v>
      </c>
      <c r="F25" s="11">
        <v>18.420000000000002</v>
      </c>
      <c r="G25" s="11">
        <v>18.47</v>
      </c>
      <c r="H25" s="14">
        <v>18.93</v>
      </c>
    </row>
    <row r="26" spans="1:8">
      <c r="B26" s="6" t="s">
        <v>80</v>
      </c>
      <c r="C26" s="25">
        <v>4.24</v>
      </c>
      <c r="D26" s="11">
        <v>4.51</v>
      </c>
      <c r="E26" s="11">
        <v>4.5</v>
      </c>
      <c r="F26" s="11">
        <v>4.67</v>
      </c>
      <c r="G26" s="11">
        <v>5.03</v>
      </c>
      <c r="H26" s="14">
        <v>4.6399999999999997</v>
      </c>
    </row>
    <row r="27" spans="1:8">
      <c r="B27" s="6" t="s">
        <v>81</v>
      </c>
      <c r="C27" s="25">
        <v>7.14</v>
      </c>
      <c r="D27" s="11">
        <v>7.45</v>
      </c>
      <c r="E27" s="11">
        <v>7.48</v>
      </c>
      <c r="F27" s="11">
        <v>7.47</v>
      </c>
      <c r="G27" s="11">
        <v>7.55</v>
      </c>
      <c r="H27" s="14">
        <v>7.62</v>
      </c>
    </row>
    <row r="28" spans="1:8" ht="14.25" thickBot="1">
      <c r="B28" s="7" t="s">
        <v>78</v>
      </c>
      <c r="C28" s="26">
        <v>0.16</v>
      </c>
      <c r="D28" s="15">
        <v>0.15</v>
      </c>
      <c r="E28" s="15">
        <v>0.16</v>
      </c>
      <c r="F28" s="15" t="s">
        <v>254</v>
      </c>
      <c r="G28" s="15">
        <v>0.01</v>
      </c>
      <c r="H28" s="16">
        <v>7.0000000000000007E-2</v>
      </c>
    </row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45DF0D-0632-4E4B-819C-305A3D72570D}">
          <x14:formula1>
            <xm:f>非表示!$B$2:$B$13</xm:f>
          </x14:formula1>
          <xm:sqref>C5</xm:sqref>
        </x14:dataValidation>
        <x14:dataValidation type="list" allowBlank="1" showInputMessage="1" showErrorMessage="1" xr:uid="{8C44A9A4-DE89-4DF5-980A-3685B4832665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O25"/>
  <sheetViews>
    <sheetView workbookViewId="0">
      <selection activeCell="M15" sqref="M15"/>
    </sheetView>
  </sheetViews>
  <sheetFormatPr defaultRowHeight="13.5"/>
  <cols>
    <col min="1" max="1" width="9" style="1"/>
    <col min="2" max="2" width="11.625" style="1" bestFit="1" customWidth="1"/>
    <col min="3" max="8" width="9" style="1"/>
    <col min="9" max="9" width="17.25" style="1" bestFit="1" customWidth="1"/>
    <col min="10" max="10" width="10.5" style="1" bestFit="1" customWidth="1"/>
    <col min="11" max="11" width="8.5" style="1" bestFit="1" customWidth="1"/>
    <col min="12" max="16384" width="9" style="1"/>
  </cols>
  <sheetData>
    <row r="1" spans="2:15">
      <c r="B1" s="1" t="s">
        <v>2</v>
      </c>
      <c r="D1" s="1" t="s">
        <v>64</v>
      </c>
      <c r="G1" s="1" t="s">
        <v>271</v>
      </c>
    </row>
    <row r="2" spans="2:15">
      <c r="B2" s="2" t="s">
        <v>4</v>
      </c>
      <c r="D2" s="1" t="s">
        <v>17</v>
      </c>
      <c r="E2" s="1" t="s">
        <v>16</v>
      </c>
      <c r="G2" s="1" t="str">
        <f>_xlfn.XLOOKUP(H2,$E$2:$E$25,$D$2:$D$25)</f>
        <v>桐生</v>
      </c>
      <c r="H2" s="1" t="s">
        <v>36</v>
      </c>
      <c r="I2" s="1" t="s">
        <v>307</v>
      </c>
      <c r="J2" s="1" t="s">
        <v>308</v>
      </c>
      <c r="K2" s="1" t="s">
        <v>80</v>
      </c>
      <c r="O2" s="1" t="s">
        <v>272</v>
      </c>
    </row>
    <row r="3" spans="2:15">
      <c r="B3" s="2" t="s">
        <v>5</v>
      </c>
      <c r="D3" s="1" t="s">
        <v>19</v>
      </c>
      <c r="E3" s="1" t="s">
        <v>18</v>
      </c>
      <c r="G3" s="1" t="str">
        <f t="shared" ref="G3:G25" si="0">_xlfn.XLOOKUP(H3,$E$2:$E$25,$D$2:$D$25)</f>
        <v>戸田</v>
      </c>
      <c r="H3" s="1" t="s">
        <v>52</v>
      </c>
      <c r="I3" s="1" t="s">
        <v>307</v>
      </c>
      <c r="J3" s="1" t="s">
        <v>308</v>
      </c>
      <c r="K3" s="1" t="s">
        <v>80</v>
      </c>
      <c r="O3" s="1" t="s">
        <v>273</v>
      </c>
    </row>
    <row r="4" spans="2:15">
      <c r="B4" s="2" t="s">
        <v>6</v>
      </c>
      <c r="D4" s="1" t="s">
        <v>21</v>
      </c>
      <c r="E4" s="1" t="s">
        <v>20</v>
      </c>
      <c r="G4" s="1" t="str">
        <f t="shared" si="0"/>
        <v>江戸川</v>
      </c>
      <c r="H4" s="1" t="s">
        <v>22</v>
      </c>
      <c r="I4" s="1" t="s">
        <v>307</v>
      </c>
      <c r="J4" s="1" t="s">
        <v>308</v>
      </c>
      <c r="K4" s="1" t="s">
        <v>80</v>
      </c>
      <c r="O4" s="1" t="s">
        <v>274</v>
      </c>
    </row>
    <row r="5" spans="2:15">
      <c r="B5" s="2" t="s">
        <v>7</v>
      </c>
      <c r="D5" s="1" t="s">
        <v>23</v>
      </c>
      <c r="E5" s="1" t="s">
        <v>22</v>
      </c>
      <c r="G5" s="1" t="str">
        <f t="shared" si="0"/>
        <v>平和島</v>
      </c>
      <c r="H5" s="1" t="s">
        <v>30</v>
      </c>
      <c r="I5" s="1" t="s">
        <v>307</v>
      </c>
      <c r="J5" s="1" t="s">
        <v>308</v>
      </c>
      <c r="K5" s="1" t="s">
        <v>80</v>
      </c>
      <c r="O5" s="1" t="s">
        <v>275</v>
      </c>
    </row>
    <row r="6" spans="2:15">
      <c r="B6" s="2" t="s">
        <v>8</v>
      </c>
      <c r="D6" s="1" t="s">
        <v>25</v>
      </c>
      <c r="E6" s="1" t="s">
        <v>24</v>
      </c>
      <c r="G6" s="1" t="str">
        <f t="shared" si="0"/>
        <v>多摩川</v>
      </c>
      <c r="H6" s="1" t="s">
        <v>58</v>
      </c>
      <c r="I6" s="1" t="s">
        <v>307</v>
      </c>
      <c r="J6" s="1" t="s">
        <v>308</v>
      </c>
      <c r="K6" s="1" t="s">
        <v>81</v>
      </c>
      <c r="O6" s="1" t="s">
        <v>276</v>
      </c>
    </row>
    <row r="7" spans="2:15">
      <c r="B7" s="2" t="s">
        <v>9</v>
      </c>
      <c r="D7" s="1" t="s">
        <v>27</v>
      </c>
      <c r="E7" s="1" t="s">
        <v>26</v>
      </c>
      <c r="G7" s="1" t="str">
        <f t="shared" si="0"/>
        <v>浜名湖</v>
      </c>
      <c r="H7" s="1" t="s">
        <v>28</v>
      </c>
      <c r="I7" s="1" t="s">
        <v>307</v>
      </c>
      <c r="J7" s="1" t="s">
        <v>308</v>
      </c>
      <c r="K7" s="1" t="s">
        <v>81</v>
      </c>
      <c r="L7" s="1" t="s">
        <v>305</v>
      </c>
      <c r="O7" s="1" t="s">
        <v>277</v>
      </c>
    </row>
    <row r="8" spans="2:15">
      <c r="B8" s="2" t="s">
        <v>10</v>
      </c>
      <c r="D8" s="1" t="s">
        <v>29</v>
      </c>
      <c r="E8" s="1" t="s">
        <v>28</v>
      </c>
      <c r="G8" s="1" t="str">
        <f t="shared" si="0"/>
        <v>蒲郡</v>
      </c>
      <c r="H8" s="1" t="s">
        <v>26</v>
      </c>
      <c r="I8" s="1" t="s">
        <v>307</v>
      </c>
      <c r="J8" s="1" t="s">
        <v>308</v>
      </c>
      <c r="K8" s="1" t="s">
        <v>81</v>
      </c>
      <c r="L8" s="1" t="s">
        <v>305</v>
      </c>
      <c r="O8" s="1" t="s">
        <v>278</v>
      </c>
    </row>
    <row r="9" spans="2:15">
      <c r="B9" s="2" t="s">
        <v>11</v>
      </c>
      <c r="D9" s="1" t="s">
        <v>31</v>
      </c>
      <c r="E9" s="1" t="s">
        <v>30</v>
      </c>
      <c r="G9" s="1" t="str">
        <f t="shared" si="0"/>
        <v>常滑</v>
      </c>
      <c r="H9" s="1" t="s">
        <v>54</v>
      </c>
      <c r="I9" s="1" t="s">
        <v>307</v>
      </c>
      <c r="J9" s="1" t="s">
        <v>308</v>
      </c>
      <c r="K9" s="1" t="s">
        <v>81</v>
      </c>
      <c r="L9" s="1" t="s">
        <v>305</v>
      </c>
      <c r="O9" s="1" t="s">
        <v>279</v>
      </c>
    </row>
    <row r="10" spans="2:15">
      <c r="B10" s="2" t="s">
        <v>12</v>
      </c>
      <c r="D10" s="1" t="s">
        <v>33</v>
      </c>
      <c r="E10" s="1" t="s">
        <v>32</v>
      </c>
      <c r="G10" s="1" t="str">
        <f t="shared" si="0"/>
        <v>津</v>
      </c>
      <c r="H10" s="1" t="s">
        <v>60</v>
      </c>
      <c r="I10" s="1" t="s">
        <v>307</v>
      </c>
      <c r="J10" s="1" t="s">
        <v>308</v>
      </c>
      <c r="K10" s="1" t="s">
        <v>80</v>
      </c>
      <c r="L10" s="1" t="s">
        <v>306</v>
      </c>
      <c r="O10" s="1" t="s">
        <v>280</v>
      </c>
    </row>
    <row r="11" spans="2:15">
      <c r="B11" s="2" t="s">
        <v>13</v>
      </c>
      <c r="D11" s="1" t="s">
        <v>35</v>
      </c>
      <c r="E11" s="1" t="s">
        <v>34</v>
      </c>
      <c r="G11" s="1" t="str">
        <f t="shared" si="0"/>
        <v>三国</v>
      </c>
      <c r="H11" s="1" t="s">
        <v>38</v>
      </c>
      <c r="I11" s="1" t="s">
        <v>307</v>
      </c>
      <c r="J11" s="1" t="s">
        <v>308</v>
      </c>
      <c r="K11" s="1" t="s">
        <v>81</v>
      </c>
      <c r="L11" s="1" t="s">
        <v>305</v>
      </c>
      <c r="O11" s="1" t="s">
        <v>281</v>
      </c>
    </row>
    <row r="12" spans="2:15">
      <c r="B12" s="2" t="s">
        <v>14</v>
      </c>
      <c r="D12" s="1" t="s">
        <v>37</v>
      </c>
      <c r="E12" s="1" t="s">
        <v>36</v>
      </c>
      <c r="G12" s="1" t="str">
        <f t="shared" si="0"/>
        <v>びわこ</v>
      </c>
      <c r="H12" s="1" t="s">
        <v>20</v>
      </c>
      <c r="I12" s="1" t="s">
        <v>307</v>
      </c>
      <c r="J12" s="1" t="s">
        <v>308</v>
      </c>
      <c r="K12" s="1" t="s">
        <v>80</v>
      </c>
      <c r="L12" s="1" t="s">
        <v>306</v>
      </c>
      <c r="O12" s="1" t="s">
        <v>282</v>
      </c>
    </row>
    <row r="13" spans="2:15">
      <c r="B13" s="2" t="s">
        <v>15</v>
      </c>
      <c r="D13" s="1" t="s">
        <v>39</v>
      </c>
      <c r="E13" s="1" t="s">
        <v>38</v>
      </c>
      <c r="G13" s="1" t="str">
        <f t="shared" si="0"/>
        <v>住之江</v>
      </c>
      <c r="H13" s="1" t="s">
        <v>48</v>
      </c>
      <c r="I13" s="1" t="s">
        <v>307</v>
      </c>
      <c r="J13" s="1" t="s">
        <v>308</v>
      </c>
      <c r="K13" s="1" t="s">
        <v>80</v>
      </c>
      <c r="L13" s="1" t="s">
        <v>306</v>
      </c>
      <c r="O13" s="1" t="s">
        <v>283</v>
      </c>
    </row>
    <row r="14" spans="2:15">
      <c r="D14" s="1" t="s">
        <v>41</v>
      </c>
      <c r="E14" s="1" t="s">
        <v>40</v>
      </c>
      <c r="G14" s="1" t="str">
        <f t="shared" si="0"/>
        <v>尼崎</v>
      </c>
      <c r="H14" s="1" t="s">
        <v>16</v>
      </c>
      <c r="I14" s="1" t="s">
        <v>307</v>
      </c>
      <c r="J14" s="1" t="s">
        <v>308</v>
      </c>
      <c r="K14" s="1" t="s">
        <v>81</v>
      </c>
      <c r="L14" s="1" t="s">
        <v>305</v>
      </c>
      <c r="O14" s="1" t="s">
        <v>284</v>
      </c>
    </row>
    <row r="15" spans="2:15">
      <c r="D15" s="1" t="s">
        <v>43</v>
      </c>
      <c r="E15" s="1" t="s">
        <v>42</v>
      </c>
      <c r="G15" s="1" t="str">
        <f t="shared" si="0"/>
        <v>鳴門</v>
      </c>
      <c r="H15" s="1" t="s">
        <v>44</v>
      </c>
      <c r="I15" s="1" t="s">
        <v>307</v>
      </c>
      <c r="J15" s="1" t="s">
        <v>308</v>
      </c>
      <c r="K15" s="1" t="s">
        <v>81</v>
      </c>
      <c r="L15" s="1" t="s">
        <v>305</v>
      </c>
      <c r="O15" s="1" t="s">
        <v>285</v>
      </c>
    </row>
    <row r="16" spans="2:15">
      <c r="D16" s="1" t="s">
        <v>45</v>
      </c>
      <c r="E16" s="1" t="s">
        <v>44</v>
      </c>
      <c r="G16" s="1" t="str">
        <f t="shared" si="0"/>
        <v>丸亀</v>
      </c>
      <c r="H16" s="1" t="s">
        <v>40</v>
      </c>
      <c r="I16" s="1" t="s">
        <v>307</v>
      </c>
      <c r="J16" s="1" t="s">
        <v>308</v>
      </c>
      <c r="K16" s="1" t="s">
        <v>80</v>
      </c>
      <c r="L16" s="1" t="s">
        <v>306</v>
      </c>
      <c r="O16" s="1" t="s">
        <v>286</v>
      </c>
    </row>
    <row r="17" spans="4:15">
      <c r="D17" s="1" t="s">
        <v>47</v>
      </c>
      <c r="E17" s="1" t="s">
        <v>46</v>
      </c>
      <c r="G17" s="1" t="str">
        <f t="shared" si="0"/>
        <v>児島</v>
      </c>
      <c r="H17" s="1" t="s">
        <v>32</v>
      </c>
      <c r="I17" s="1" t="s">
        <v>307</v>
      </c>
      <c r="J17" s="1" t="s">
        <v>308</v>
      </c>
      <c r="K17" s="1" t="s">
        <v>80</v>
      </c>
      <c r="L17" s="1" t="s">
        <v>306</v>
      </c>
      <c r="O17" s="1" t="s">
        <v>287</v>
      </c>
    </row>
    <row r="18" spans="4:15">
      <c r="D18" s="1" t="s">
        <v>49</v>
      </c>
      <c r="E18" s="1" t="s">
        <v>48</v>
      </c>
      <c r="G18" s="1" t="str">
        <f t="shared" si="0"/>
        <v>宮島</v>
      </c>
      <c r="H18" s="1" t="s">
        <v>42</v>
      </c>
      <c r="I18" s="1" t="s">
        <v>307</v>
      </c>
      <c r="J18" s="1" t="s">
        <v>308</v>
      </c>
      <c r="K18" s="1" t="s">
        <v>80</v>
      </c>
      <c r="L18" s="1" t="s">
        <v>306</v>
      </c>
      <c r="O18" s="1" t="s">
        <v>288</v>
      </c>
    </row>
    <row r="19" spans="4:15">
      <c r="D19" s="1" t="s">
        <v>51</v>
      </c>
      <c r="E19" s="1" t="s">
        <v>50</v>
      </c>
      <c r="G19" s="1" t="str">
        <f t="shared" si="0"/>
        <v>徳山</v>
      </c>
      <c r="H19" s="1" t="s">
        <v>56</v>
      </c>
      <c r="I19" s="1" t="s">
        <v>307</v>
      </c>
      <c r="J19" s="1" t="s">
        <v>308</v>
      </c>
      <c r="K19" s="1" t="s">
        <v>81</v>
      </c>
      <c r="L19" s="1" t="s">
        <v>305</v>
      </c>
      <c r="O19" s="1" t="s">
        <v>289</v>
      </c>
    </row>
    <row r="20" spans="4:15">
      <c r="D20" s="1" t="s">
        <v>53</v>
      </c>
      <c r="E20" s="1" t="s">
        <v>52</v>
      </c>
      <c r="G20" s="1" t="str">
        <f t="shared" si="0"/>
        <v>下関</v>
      </c>
      <c r="H20" s="1" t="s">
        <v>50</v>
      </c>
      <c r="I20" s="1" t="s">
        <v>307</v>
      </c>
      <c r="J20" s="1" t="s">
        <v>308</v>
      </c>
      <c r="K20" s="1" t="s">
        <v>81</v>
      </c>
      <c r="L20" s="1" t="s">
        <v>305</v>
      </c>
      <c r="O20" s="1" t="s">
        <v>290</v>
      </c>
    </row>
    <row r="21" spans="4:15">
      <c r="D21" s="1" t="s">
        <v>55</v>
      </c>
      <c r="E21" s="1" t="s">
        <v>54</v>
      </c>
      <c r="G21" s="1" t="str">
        <f t="shared" si="0"/>
        <v>若松</v>
      </c>
      <c r="H21" s="1" t="s">
        <v>62</v>
      </c>
      <c r="I21" s="1" t="s">
        <v>307</v>
      </c>
      <c r="J21" s="1" t="s">
        <v>308</v>
      </c>
      <c r="K21" s="1" t="s">
        <v>81</v>
      </c>
      <c r="L21" s="1" t="s">
        <v>305</v>
      </c>
      <c r="O21" s="1" t="s">
        <v>291</v>
      </c>
    </row>
    <row r="22" spans="4:15">
      <c r="D22" s="1" t="s">
        <v>57</v>
      </c>
      <c r="E22" s="1" t="s">
        <v>56</v>
      </c>
      <c r="G22" s="1" t="str">
        <f t="shared" si="0"/>
        <v>芦屋</v>
      </c>
      <c r="H22" s="1" t="s">
        <v>18</v>
      </c>
      <c r="I22" s="1" t="s">
        <v>307</v>
      </c>
      <c r="J22" s="1" t="s">
        <v>308</v>
      </c>
      <c r="K22" s="1" t="s">
        <v>81</v>
      </c>
      <c r="L22" s="1" t="s">
        <v>305</v>
      </c>
      <c r="O22" s="1" t="s">
        <v>292</v>
      </c>
    </row>
    <row r="23" spans="4:15">
      <c r="D23" s="1" t="s">
        <v>59</v>
      </c>
      <c r="E23" s="1" t="s">
        <v>58</v>
      </c>
      <c r="G23" s="1" t="str">
        <f t="shared" si="0"/>
        <v>福岡</v>
      </c>
      <c r="H23" s="1" t="s">
        <v>24</v>
      </c>
      <c r="I23" s="1" t="s">
        <v>307</v>
      </c>
      <c r="J23" s="1" t="s">
        <v>308</v>
      </c>
      <c r="K23" s="1" t="s">
        <v>80</v>
      </c>
      <c r="L23" s="1" t="s">
        <v>306</v>
      </c>
      <c r="O23" s="1" t="s">
        <v>293</v>
      </c>
    </row>
    <row r="24" spans="4:15">
      <c r="D24" s="1" t="s">
        <v>61</v>
      </c>
      <c r="E24" s="1" t="s">
        <v>60</v>
      </c>
      <c r="G24" s="1" t="str">
        <f t="shared" si="0"/>
        <v>唐津</v>
      </c>
      <c r="H24" s="1" t="s">
        <v>34</v>
      </c>
      <c r="I24" s="1" t="s">
        <v>307</v>
      </c>
      <c r="J24" s="1" t="s">
        <v>308</v>
      </c>
      <c r="K24" s="1" t="s">
        <v>80</v>
      </c>
      <c r="L24" s="1" t="s">
        <v>306</v>
      </c>
      <c r="O24" s="1" t="s">
        <v>294</v>
      </c>
    </row>
    <row r="25" spans="4:15">
      <c r="D25" s="1" t="s">
        <v>63</v>
      </c>
      <c r="E25" s="1" t="s">
        <v>62</v>
      </c>
      <c r="G25" s="1" t="str">
        <f t="shared" si="0"/>
        <v>大村</v>
      </c>
      <c r="H25" s="1" t="s">
        <v>46</v>
      </c>
      <c r="I25" s="1" t="s">
        <v>307</v>
      </c>
      <c r="J25" s="1" t="s">
        <v>308</v>
      </c>
      <c r="K25" s="1" t="s">
        <v>311</v>
      </c>
      <c r="O25" s="1" t="s">
        <v>295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2026-04-26T08:03:33Z</dcterms:modified>
</cp:coreProperties>
</file>