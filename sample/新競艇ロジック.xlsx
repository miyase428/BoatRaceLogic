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BoatRaceLogic\sample\"/>
    </mc:Choice>
  </mc:AlternateContent>
  <xr:revisionPtr revIDLastSave="0" documentId="13_ncr:1_{2BA5B528-6E94-4686-9CE9-7F27509B3355}" xr6:coauthVersionLast="47" xr6:coauthVersionMax="47" xr10:uidLastSave="{00000000-0000-0000-0000-000000000000}"/>
  <bookViews>
    <workbookView xWindow="5880" yWindow="405" windowWidth="21630" windowHeight="14955" tabRatio="882" firstSheet="7" activeTab="11" xr2:uid="{00000000-000D-0000-FFFF-FFFF00000000}"/>
  </bookViews>
  <sheets>
    <sheet name="INPUT" sheetId="1" r:id="rId1"/>
    <sheet name="INPUT (2)" sheetId="10" r:id="rId2"/>
    <sheet name="Sheet4" sheetId="12" r:id="rId3"/>
    <sheet name="Sheet3" sheetId="11" r:id="rId4"/>
    <sheet name="KIMARITE" sheetId="6" r:id="rId5"/>
    <sheet name="Sheet2" sheetId="13" r:id="rId6"/>
    <sheet name="TENJI" sheetId="4" r:id="rId7"/>
    <sheet name="TENJI (2)" sheetId="15" r:id="rId8"/>
    <sheet name="Sheet5" sheetId="14" r:id="rId9"/>
    <sheet name="FORECAST" sheetId="7" r:id="rId10"/>
    <sheet name="FORECAST (2)" sheetId="16" r:id="rId11"/>
    <sheet name="Sheet7" sheetId="17" r:id="rId12"/>
    <sheet name="TICKET" sheetId="8" r:id="rId13"/>
    <sheet name="Sheet1" sheetId="9" r:id="rId14"/>
    <sheet name="MASTER" sheetId="3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7" l="1"/>
  <c r="D24" i="17"/>
  <c r="D25" i="17"/>
  <c r="D26" i="17"/>
  <c r="D27" i="17"/>
  <c r="D28" i="17"/>
  <c r="D29" i="17"/>
  <c r="D30" i="17"/>
  <c r="D22" i="17"/>
  <c r="D5" i="17"/>
  <c r="D6" i="17"/>
  <c r="D7" i="17"/>
  <c r="D4" i="17"/>
  <c r="C27" i="17"/>
  <c r="C28" i="17"/>
  <c r="C29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4" i="17"/>
  <c r="V7" i="16"/>
  <c r="U7" i="16"/>
  <c r="T7" i="16"/>
  <c r="S7" i="16"/>
  <c r="R7" i="16"/>
  <c r="Q7" i="16"/>
  <c r="P7" i="16"/>
  <c r="O7" i="16"/>
  <c r="N7" i="16"/>
  <c r="M7" i="16"/>
  <c r="L7" i="16"/>
  <c r="K7" i="16"/>
  <c r="X7" i="16" s="1"/>
  <c r="Y7" i="16" s="1"/>
  <c r="J7" i="16"/>
  <c r="I7" i="16"/>
  <c r="H7" i="16"/>
  <c r="G7" i="16"/>
  <c r="F7" i="16"/>
  <c r="E7" i="16"/>
  <c r="D7" i="16"/>
  <c r="C7" i="16"/>
  <c r="V6" i="16"/>
  <c r="U6" i="16"/>
  <c r="T6" i="16"/>
  <c r="S6" i="16"/>
  <c r="R6" i="16"/>
  <c r="Q6" i="16"/>
  <c r="P6" i="16"/>
  <c r="O6" i="16"/>
  <c r="N6" i="16"/>
  <c r="M6" i="16"/>
  <c r="L6" i="16"/>
  <c r="K6" i="16"/>
  <c r="X6" i="16" s="1"/>
  <c r="Y6" i="16" s="1"/>
  <c r="J6" i="16"/>
  <c r="I6" i="16"/>
  <c r="H6" i="16"/>
  <c r="G6" i="16"/>
  <c r="F6" i="16"/>
  <c r="E6" i="16"/>
  <c r="D6" i="16"/>
  <c r="C6" i="16"/>
  <c r="V5" i="16"/>
  <c r="U5" i="16"/>
  <c r="T5" i="16"/>
  <c r="S5" i="16"/>
  <c r="R5" i="16"/>
  <c r="Q5" i="16"/>
  <c r="P5" i="16"/>
  <c r="O5" i="16"/>
  <c r="N5" i="16"/>
  <c r="M5" i="16"/>
  <c r="L5" i="16"/>
  <c r="K5" i="16"/>
  <c r="X5" i="16" s="1"/>
  <c r="Y5" i="16" s="1"/>
  <c r="J5" i="16"/>
  <c r="I5" i="16"/>
  <c r="H5" i="16"/>
  <c r="G5" i="16"/>
  <c r="F5" i="16"/>
  <c r="E5" i="16"/>
  <c r="D5" i="16"/>
  <c r="C5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X4" i="16" s="1"/>
  <c r="Y4" i="16" s="1"/>
  <c r="J4" i="16"/>
  <c r="I4" i="16"/>
  <c r="H4" i="16"/>
  <c r="G4" i="16"/>
  <c r="F4" i="16"/>
  <c r="E4" i="16"/>
  <c r="D4" i="16"/>
  <c r="C4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X3" i="16" s="1"/>
  <c r="Y3" i="16" s="1"/>
  <c r="J3" i="16"/>
  <c r="I3" i="16"/>
  <c r="H3" i="16"/>
  <c r="G3" i="16"/>
  <c r="F3" i="16"/>
  <c r="E3" i="16"/>
  <c r="D3" i="16"/>
  <c r="C3" i="16"/>
  <c r="X2" i="16"/>
  <c r="Y2" i="16" s="1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S2" i="16" s="1"/>
  <c r="D2" i="16"/>
  <c r="C2" i="16"/>
  <c r="Z3" i="16" l="1"/>
  <c r="AA3" i="16" s="1"/>
  <c r="Z6" i="16"/>
  <c r="AA6" i="16" s="1"/>
  <c r="Z2" i="16"/>
  <c r="AA2" i="16" s="1"/>
  <c r="Z5" i="16"/>
  <c r="AA5" i="16" s="1"/>
  <c r="Z4" i="16"/>
  <c r="AA4" i="16" s="1"/>
  <c r="Z7" i="16"/>
  <c r="AA7" i="16" s="1"/>
  <c r="F7" i="15" l="1"/>
  <c r="E7" i="15"/>
  <c r="D7" i="15"/>
  <c r="C7" i="15"/>
  <c r="B7" i="15"/>
  <c r="G7" i="15" s="1"/>
  <c r="F6" i="15"/>
  <c r="E6" i="15"/>
  <c r="D6" i="15"/>
  <c r="C6" i="15"/>
  <c r="B6" i="15"/>
  <c r="G6" i="15" s="1"/>
  <c r="F5" i="15"/>
  <c r="E5" i="15"/>
  <c r="D5" i="15"/>
  <c r="C5" i="15"/>
  <c r="B5" i="15"/>
  <c r="G5" i="15" s="1"/>
  <c r="F4" i="15"/>
  <c r="E4" i="15"/>
  <c r="D4" i="15"/>
  <c r="C4" i="15"/>
  <c r="B4" i="15"/>
  <c r="G4" i="15" s="1"/>
  <c r="G3" i="15"/>
  <c r="F3" i="15"/>
  <c r="E3" i="15"/>
  <c r="D3" i="15"/>
  <c r="C3" i="15"/>
  <c r="B3" i="15"/>
  <c r="G2" i="15"/>
  <c r="F2" i="15"/>
  <c r="L8" i="15" s="1"/>
  <c r="E2" i="15"/>
  <c r="K8" i="15" s="1"/>
  <c r="D2" i="15"/>
  <c r="J8" i="15" s="1"/>
  <c r="C2" i="15"/>
  <c r="B2" i="15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9" i="14"/>
  <c r="B3" i="14"/>
  <c r="B4" i="14"/>
  <c r="B5" i="14"/>
  <c r="B6" i="14"/>
  <c r="B7" i="14"/>
  <c r="B2" i="14"/>
  <c r="T2" i="1" l="1"/>
  <c r="U2" i="1"/>
  <c r="T3" i="1"/>
  <c r="U3" i="1"/>
  <c r="T4" i="1"/>
  <c r="U4" i="1"/>
  <c r="T5" i="1"/>
  <c r="U5" i="1"/>
  <c r="T6" i="1"/>
  <c r="U6" i="1"/>
  <c r="T7" i="1"/>
  <c r="U7" i="1"/>
  <c r="M3" i="1"/>
  <c r="P2" i="1"/>
  <c r="P3" i="1"/>
  <c r="P4" i="1"/>
  <c r="P5" i="1"/>
  <c r="P6" i="1"/>
  <c r="P7" i="1"/>
  <c r="I7" i="10"/>
  <c r="H7" i="10"/>
  <c r="G7" i="10"/>
  <c r="F7" i="10"/>
  <c r="E7" i="10"/>
  <c r="D7" i="10"/>
  <c r="C7" i="10"/>
  <c r="B7" i="10"/>
  <c r="I6" i="10"/>
  <c r="H6" i="10"/>
  <c r="G6" i="10"/>
  <c r="F6" i="10"/>
  <c r="E6" i="10"/>
  <c r="D6" i="10"/>
  <c r="C6" i="10"/>
  <c r="B6" i="10"/>
  <c r="I5" i="10"/>
  <c r="H5" i="10"/>
  <c r="G5" i="10"/>
  <c r="F5" i="10"/>
  <c r="E5" i="10"/>
  <c r="D5" i="10"/>
  <c r="C5" i="10"/>
  <c r="B5" i="10"/>
  <c r="I4" i="10"/>
  <c r="H4" i="10"/>
  <c r="G4" i="10"/>
  <c r="F4" i="10"/>
  <c r="E4" i="10"/>
  <c r="D4" i="10"/>
  <c r="C4" i="10"/>
  <c r="B4" i="10"/>
  <c r="I3" i="10"/>
  <c r="H3" i="10"/>
  <c r="G3" i="10"/>
  <c r="F3" i="10"/>
  <c r="E3" i="10"/>
  <c r="D3" i="10"/>
  <c r="C3" i="10"/>
  <c r="B3" i="10"/>
  <c r="I2" i="10"/>
  <c r="H2" i="10"/>
  <c r="G2" i="10"/>
  <c r="F2" i="10"/>
  <c r="E2" i="10"/>
  <c r="D2" i="10"/>
  <c r="C2" i="10"/>
  <c r="B2" i="10"/>
  <c r="W4" i="7"/>
  <c r="L3" i="6"/>
  <c r="M3" i="6"/>
  <c r="N3" i="6"/>
  <c r="O3" i="6"/>
  <c r="K4" i="6"/>
  <c r="P4" i="6"/>
  <c r="Q4" i="6"/>
  <c r="R4" i="6"/>
  <c r="K5" i="6"/>
  <c r="P5" i="6"/>
  <c r="Q5" i="6"/>
  <c r="R5" i="6"/>
  <c r="K6" i="6"/>
  <c r="O6" i="6"/>
  <c r="P6" i="6"/>
  <c r="Q6" i="6"/>
  <c r="R6" i="6"/>
  <c r="K7" i="6"/>
  <c r="O7" i="6"/>
  <c r="P7" i="6"/>
  <c r="Q7" i="6"/>
  <c r="R7" i="6"/>
  <c r="K8" i="6"/>
  <c r="O8" i="6"/>
  <c r="P8" i="6"/>
  <c r="Q8" i="6"/>
  <c r="R8" i="6"/>
  <c r="K9" i="6"/>
  <c r="O9" i="6"/>
  <c r="P9" i="6"/>
  <c r="Q9" i="6"/>
  <c r="R9" i="6"/>
  <c r="K10" i="6"/>
  <c r="O10" i="6"/>
  <c r="P10" i="6"/>
  <c r="Q10" i="6"/>
  <c r="R10" i="6"/>
  <c r="K11" i="6"/>
  <c r="O11" i="6"/>
  <c r="P11" i="6"/>
  <c r="Q11" i="6"/>
  <c r="R11" i="6"/>
  <c r="K12" i="6"/>
  <c r="O12" i="6"/>
  <c r="P12" i="6"/>
  <c r="Q12" i="6"/>
  <c r="R12" i="6"/>
  <c r="K13" i="6"/>
  <c r="O13" i="6"/>
  <c r="P13" i="6"/>
  <c r="Q13" i="6"/>
  <c r="R13" i="6"/>
  <c r="L2" i="6"/>
  <c r="M2" i="6"/>
  <c r="N2" i="6"/>
  <c r="O2" i="6"/>
  <c r="E4" i="4" l="1"/>
  <c r="H2" i="1"/>
  <c r="H7" i="1"/>
  <c r="H6" i="1"/>
  <c r="H5" i="1"/>
  <c r="H4" i="1"/>
  <c r="H3" i="1"/>
  <c r="I3" i="1"/>
  <c r="I7" i="1"/>
  <c r="I6" i="1"/>
  <c r="I5" i="1"/>
  <c r="I4" i="1"/>
  <c r="I2" i="1"/>
  <c r="D7" i="7"/>
  <c r="D6" i="7"/>
  <c r="D5" i="7"/>
  <c r="D4" i="7"/>
  <c r="D3" i="7"/>
  <c r="D2" i="7"/>
  <c r="C7" i="7"/>
  <c r="C6" i="7"/>
  <c r="C5" i="7"/>
  <c r="C4" i="7"/>
  <c r="C3" i="7"/>
  <c r="C2" i="7"/>
  <c r="L2" i="7"/>
  <c r="M2" i="7"/>
  <c r="N2" i="7"/>
  <c r="O2" i="7"/>
  <c r="P3" i="7"/>
  <c r="Q3" i="7"/>
  <c r="R3" i="7"/>
  <c r="O4" i="7"/>
  <c r="P4" i="7"/>
  <c r="Q4" i="7"/>
  <c r="R4" i="7"/>
  <c r="O5" i="7"/>
  <c r="P5" i="7"/>
  <c r="Q5" i="7"/>
  <c r="R5" i="7"/>
  <c r="O6" i="7"/>
  <c r="P6" i="7"/>
  <c r="Q6" i="7"/>
  <c r="R6" i="7"/>
  <c r="O7" i="7"/>
  <c r="P7" i="7"/>
  <c r="Q7" i="7"/>
  <c r="R7" i="7"/>
  <c r="K7" i="7"/>
  <c r="K6" i="7"/>
  <c r="K5" i="7"/>
  <c r="K4" i="7"/>
  <c r="K3" i="7"/>
  <c r="F12" i="6"/>
  <c r="N12" i="6" s="1"/>
  <c r="E12" i="6"/>
  <c r="M12" i="6" s="1"/>
  <c r="D12" i="6"/>
  <c r="L12" i="6" s="1"/>
  <c r="F11" i="6"/>
  <c r="F10" i="6"/>
  <c r="N10" i="6" s="1"/>
  <c r="E11" i="6"/>
  <c r="E10" i="6"/>
  <c r="M10" i="6" s="1"/>
  <c r="D11" i="6"/>
  <c r="D10" i="6"/>
  <c r="L10" i="6" s="1"/>
  <c r="F9" i="6"/>
  <c r="F8" i="6"/>
  <c r="N8" i="6" s="1"/>
  <c r="E9" i="6"/>
  <c r="E8" i="6"/>
  <c r="M8" i="6" s="1"/>
  <c r="D9" i="6"/>
  <c r="D8" i="6"/>
  <c r="L8" i="6" s="1"/>
  <c r="F7" i="6"/>
  <c r="F6" i="6"/>
  <c r="N6" i="6" s="1"/>
  <c r="E7" i="6"/>
  <c r="E6" i="6"/>
  <c r="M6" i="6" s="1"/>
  <c r="D7" i="6"/>
  <c r="D6" i="6"/>
  <c r="L6" i="6" s="1"/>
  <c r="F13" i="6"/>
  <c r="E13" i="6"/>
  <c r="D13" i="6"/>
  <c r="G5" i="6"/>
  <c r="F5" i="6"/>
  <c r="E5" i="6"/>
  <c r="D5" i="6"/>
  <c r="G4" i="6"/>
  <c r="F4" i="6"/>
  <c r="N4" i="6" s="1"/>
  <c r="E4" i="6"/>
  <c r="M4" i="6" s="1"/>
  <c r="D4" i="6"/>
  <c r="L4" i="6" s="1"/>
  <c r="J3" i="6"/>
  <c r="I3" i="6"/>
  <c r="H3" i="6"/>
  <c r="C3" i="6"/>
  <c r="J2" i="6"/>
  <c r="R2" i="6" s="1"/>
  <c r="I2" i="6"/>
  <c r="Q2" i="6" s="1"/>
  <c r="H2" i="6"/>
  <c r="P2" i="6" s="1"/>
  <c r="C2" i="6"/>
  <c r="K2" i="6" s="1"/>
  <c r="R2" i="7" l="1"/>
  <c r="R3" i="6"/>
  <c r="O3" i="7"/>
  <c r="O5" i="6"/>
  <c r="T3" i="7"/>
  <c r="T6" i="7"/>
  <c r="T4" i="7"/>
  <c r="T7" i="7"/>
  <c r="T5" i="7"/>
  <c r="M7" i="7"/>
  <c r="M13" i="6"/>
  <c r="N5" i="7"/>
  <c r="N9" i="6"/>
  <c r="N4" i="7"/>
  <c r="N7" i="6"/>
  <c r="U6" i="7"/>
  <c r="U5" i="7"/>
  <c r="U3" i="7"/>
  <c r="U4" i="7"/>
  <c r="U7" i="7"/>
  <c r="N7" i="7"/>
  <c r="N13" i="6"/>
  <c r="L5" i="7"/>
  <c r="L9" i="6"/>
  <c r="M6" i="7"/>
  <c r="M11" i="6"/>
  <c r="P2" i="7"/>
  <c r="P3" i="6"/>
  <c r="M3" i="7"/>
  <c r="M5" i="6"/>
  <c r="Q2" i="7"/>
  <c r="Q3" i="6"/>
  <c r="N3" i="7"/>
  <c r="N5" i="6"/>
  <c r="M4" i="7"/>
  <c r="M7" i="6"/>
  <c r="L7" i="7"/>
  <c r="L13" i="6"/>
  <c r="L6" i="7"/>
  <c r="L11" i="6"/>
  <c r="V6" i="7"/>
  <c r="V5" i="7"/>
  <c r="V3" i="7"/>
  <c r="V7" i="7"/>
  <c r="V4" i="7"/>
  <c r="W3" i="7"/>
  <c r="O4" i="6"/>
  <c r="K2" i="7"/>
  <c r="X2" i="7" s="1"/>
  <c r="Y2" i="7" s="1"/>
  <c r="K3" i="6"/>
  <c r="L3" i="7"/>
  <c r="L5" i="6"/>
  <c r="L4" i="7"/>
  <c r="L7" i="6"/>
  <c r="M5" i="7"/>
  <c r="M9" i="6"/>
  <c r="N6" i="7"/>
  <c r="N11" i="6"/>
  <c r="C7" i="4"/>
  <c r="I7" i="4" s="1"/>
  <c r="C6" i="4"/>
  <c r="I6" i="4" s="1"/>
  <c r="C5" i="4"/>
  <c r="I5" i="4" s="1"/>
  <c r="C4" i="4"/>
  <c r="I4" i="4" s="1"/>
  <c r="C3" i="4"/>
  <c r="I3" i="4" s="1"/>
  <c r="C2" i="4"/>
  <c r="I2" i="4" s="1"/>
  <c r="F7" i="4"/>
  <c r="F6" i="4"/>
  <c r="F5" i="4"/>
  <c r="F4" i="4"/>
  <c r="F3" i="4"/>
  <c r="F2" i="4"/>
  <c r="E7" i="4"/>
  <c r="E6" i="4"/>
  <c r="E5" i="4"/>
  <c r="E3" i="4"/>
  <c r="E2" i="4"/>
  <c r="D7" i="4"/>
  <c r="D6" i="4"/>
  <c r="D5" i="4"/>
  <c r="D4" i="4"/>
  <c r="D3" i="4"/>
  <c r="D2" i="4"/>
  <c r="B7" i="4"/>
  <c r="G7" i="4" s="1"/>
  <c r="H7" i="4" s="1"/>
  <c r="B6" i="4"/>
  <c r="G6" i="4" s="1"/>
  <c r="H6" i="4" s="1"/>
  <c r="B5" i="4"/>
  <c r="G5" i="4" s="1"/>
  <c r="H5" i="4" s="1"/>
  <c r="B4" i="4"/>
  <c r="G4" i="4" s="1"/>
  <c r="H4" i="4" s="1"/>
  <c r="B3" i="4"/>
  <c r="G3" i="4" s="1"/>
  <c r="H3" i="4" s="1"/>
  <c r="B2" i="4"/>
  <c r="G2" i="4" s="1"/>
  <c r="H2" i="4" s="1"/>
  <c r="X5" i="7" l="1"/>
  <c r="Y5" i="7" s="1"/>
  <c r="X7" i="7"/>
  <c r="Y7" i="7" s="1"/>
  <c r="X4" i="7"/>
  <c r="Y4" i="7" s="1"/>
  <c r="X3" i="7"/>
  <c r="Y3" i="7" s="1"/>
  <c r="L8" i="4"/>
  <c r="L4" i="4" s="1"/>
  <c r="X6" i="7"/>
  <c r="Y6" i="7" s="1"/>
  <c r="K8" i="4"/>
  <c r="K5" i="4" s="1"/>
  <c r="J8" i="4"/>
  <c r="J7" i="4" s="1"/>
  <c r="K2" i="1"/>
  <c r="K3" i="1"/>
  <c r="K4" i="1"/>
  <c r="K5" i="1"/>
  <c r="K6" i="1"/>
  <c r="K7" i="1"/>
  <c r="J2" i="1"/>
  <c r="J7" i="1"/>
  <c r="J6" i="1"/>
  <c r="J5" i="1"/>
  <c r="J4" i="1"/>
  <c r="J3" i="1"/>
  <c r="G7" i="1"/>
  <c r="G6" i="1"/>
  <c r="G5" i="1"/>
  <c r="G4" i="1"/>
  <c r="G3" i="1"/>
  <c r="G2" i="1"/>
  <c r="F7" i="1"/>
  <c r="O7" i="1" s="1"/>
  <c r="F6" i="1"/>
  <c r="O6" i="1" s="1"/>
  <c r="F5" i="1"/>
  <c r="O5" i="1" s="1"/>
  <c r="F4" i="1"/>
  <c r="O4" i="1" s="1"/>
  <c r="F3" i="1"/>
  <c r="O3" i="1" s="1"/>
  <c r="F2" i="1"/>
  <c r="O2" i="1" s="1"/>
  <c r="E7" i="1"/>
  <c r="N7" i="1" s="1"/>
  <c r="E6" i="1"/>
  <c r="N6" i="1" s="1"/>
  <c r="E5" i="1"/>
  <c r="N5" i="1" s="1"/>
  <c r="E4" i="1"/>
  <c r="N4" i="1" s="1"/>
  <c r="E3" i="1"/>
  <c r="N3" i="1" s="1"/>
  <c r="E2" i="1"/>
  <c r="N2" i="1" s="1"/>
  <c r="D7" i="1"/>
  <c r="M7" i="1" s="1"/>
  <c r="D6" i="1"/>
  <c r="M6" i="1" s="1"/>
  <c r="D5" i="1"/>
  <c r="M5" i="1" s="1"/>
  <c r="D4" i="1"/>
  <c r="M4" i="1" s="1"/>
  <c r="D3" i="1"/>
  <c r="D2" i="1"/>
  <c r="M2" i="1" s="1"/>
  <c r="C7" i="1"/>
  <c r="L7" i="1" s="1"/>
  <c r="C6" i="1"/>
  <c r="L6" i="1" s="1"/>
  <c r="C5" i="1"/>
  <c r="L5" i="1" s="1"/>
  <c r="C4" i="1"/>
  <c r="L4" i="1" s="1"/>
  <c r="C3" i="1"/>
  <c r="L3" i="1" s="1"/>
  <c r="C2" i="1"/>
  <c r="L2" i="1" s="1"/>
  <c r="B7" i="1"/>
  <c r="B6" i="1"/>
  <c r="B5" i="1"/>
  <c r="B4" i="1"/>
  <c r="B3" i="1"/>
  <c r="B2" i="1"/>
  <c r="S2" i="1" l="1"/>
  <c r="S3" i="1"/>
  <c r="S4" i="1"/>
  <c r="S7" i="1"/>
  <c r="S5" i="1"/>
  <c r="S6" i="1"/>
  <c r="K4" i="4"/>
  <c r="K6" i="4"/>
  <c r="K7" i="4"/>
  <c r="K3" i="4"/>
  <c r="J2" i="4"/>
  <c r="J6" i="4"/>
  <c r="J3" i="4"/>
  <c r="J4" i="4"/>
  <c r="J5" i="4"/>
  <c r="L2" i="4"/>
  <c r="L5" i="4"/>
  <c r="L3" i="4"/>
  <c r="L7" i="4"/>
  <c r="L6" i="4"/>
  <c r="N6" i="4" s="1"/>
  <c r="N4" i="4"/>
  <c r="Q6" i="1"/>
  <c r="R2" i="1"/>
  <c r="R3" i="1"/>
  <c r="R5" i="1"/>
  <c r="Q2" i="1"/>
  <c r="R6" i="1"/>
  <c r="Q3" i="1"/>
  <c r="Q5" i="1"/>
  <c r="R4" i="1"/>
  <c r="Q4" i="1"/>
  <c r="R7" i="1"/>
  <c r="Q7" i="1"/>
  <c r="V7" i="1" l="1"/>
  <c r="W7" i="1" s="1" a="1"/>
  <c r="W7" i="1" s="1"/>
  <c r="X7" i="1" s="1" a="1"/>
  <c r="X7" i="1" s="1"/>
  <c r="N7" i="4"/>
  <c r="N5" i="4"/>
  <c r="N2" i="4"/>
  <c r="N3" i="4"/>
  <c r="V6" i="1"/>
  <c r="W6" i="1" s="1" a="1"/>
  <c r="W6" i="1" s="1"/>
  <c r="X6" i="1" s="1" a="1"/>
  <c r="X6" i="1" s="1"/>
  <c r="V5" i="1"/>
  <c r="W5" i="1" s="1" a="1"/>
  <c r="W5" i="1" s="1"/>
  <c r="X5" i="1" s="1" a="1"/>
  <c r="X5" i="1" s="1"/>
  <c r="V3" i="1"/>
  <c r="W3" i="1" s="1" a="1"/>
  <c r="W3" i="1" s="1"/>
  <c r="X3" i="1" s="1" a="1"/>
  <c r="X3" i="1" s="1"/>
  <c r="V2" i="1"/>
  <c r="W2" i="1" s="1" a="1"/>
  <c r="W2" i="1" s="1"/>
  <c r="X2" i="1" s="1" a="1"/>
  <c r="X2" i="1" s="1"/>
  <c r="V4" i="1"/>
  <c r="W4" i="1" s="1" a="1"/>
  <c r="W4" i="1" s="1"/>
  <c r="X4" i="1" s="1" a="1"/>
  <c r="X4" i="1" s="1"/>
  <c r="M5" i="4"/>
  <c r="P5" i="4" s="1"/>
  <c r="O5" i="4"/>
  <c r="S5" i="4" s="1" a="1"/>
  <c r="S5" i="4" s="1"/>
  <c r="K2" i="4"/>
  <c r="M2" i="4" s="1"/>
  <c r="M7" i="4"/>
  <c r="P7" i="4" s="1"/>
  <c r="M3" i="4"/>
  <c r="P3" i="4" s="1"/>
  <c r="O3" i="4"/>
  <c r="M6" i="4"/>
  <c r="P6" i="4" s="1"/>
  <c r="O6" i="4"/>
  <c r="S6" i="4" s="1" a="1"/>
  <c r="S6" i="4" s="1"/>
  <c r="R6" i="4" s="1" a="1"/>
  <c r="R6" i="4" s="1"/>
  <c r="M4" i="4"/>
  <c r="O7" i="4"/>
  <c r="O4" i="4"/>
  <c r="S4" i="4" s="1" a="1"/>
  <c r="S4" i="4" s="1"/>
  <c r="R4" i="4" s="1" a="1"/>
  <c r="R4" i="4" s="1"/>
  <c r="G4" i="7" s="1"/>
  <c r="S7" i="4" l="1" a="1"/>
  <c r="S7" i="4" s="1"/>
  <c r="R7" i="4" s="1" a="1"/>
  <c r="R7" i="4" s="1"/>
  <c r="G7" i="7" s="1"/>
  <c r="S3" i="4" a="1"/>
  <c r="S3" i="4" s="1"/>
  <c r="R3" i="4" s="1" a="1"/>
  <c r="R3" i="4" s="1"/>
  <c r="G3" i="7" s="1"/>
  <c r="R5" i="4" a="1"/>
  <c r="R5" i="4" s="1"/>
  <c r="G5" i="7" s="1"/>
  <c r="Q3" i="4"/>
  <c r="Q4" i="4"/>
  <c r="E4" i="7" s="1"/>
  <c r="S4" i="7" s="1"/>
  <c r="O2" i="4"/>
  <c r="S2" i="4" s="1" a="1"/>
  <c r="S2" i="4" s="1"/>
  <c r="R2" i="4" s="1" a="1"/>
  <c r="R2" i="4" s="1"/>
  <c r="Q6" i="4"/>
  <c r="E6" i="7" s="1"/>
  <c r="S6" i="7" s="1"/>
  <c r="P4" i="4"/>
  <c r="F6" i="7"/>
  <c r="F5" i="7"/>
  <c r="F4" i="7"/>
  <c r="P2" i="4"/>
  <c r="Q5" i="4"/>
  <c r="Q7" i="4"/>
  <c r="G6" i="7"/>
  <c r="T7" i="4" l="1"/>
  <c r="H7" i="7" s="1"/>
  <c r="E3" i="7"/>
  <c r="S3" i="7" s="1"/>
  <c r="Q2" i="4"/>
  <c r="E2" i="7" s="1"/>
  <c r="S2" i="7" s="1"/>
  <c r="T5" i="4"/>
  <c r="H5" i="7" s="1"/>
  <c r="F3" i="7"/>
  <c r="E7" i="7"/>
  <c r="S7" i="7" s="1"/>
  <c r="F7" i="7"/>
  <c r="E5" i="7"/>
  <c r="S5" i="7" s="1"/>
  <c r="T4" i="4"/>
  <c r="H4" i="7" s="1"/>
  <c r="T3" i="4"/>
  <c r="H3" i="7" s="1"/>
  <c r="T6" i="4"/>
  <c r="H6" i="7" s="1"/>
  <c r="T2" i="4"/>
  <c r="F2" i="7"/>
  <c r="U2" i="4" l="1"/>
  <c r="I2" i="7" s="1"/>
  <c r="U3" i="4"/>
  <c r="U4" i="4"/>
  <c r="I4" i="7" s="1"/>
  <c r="U5" i="4"/>
  <c r="V5" i="4" s="1"/>
  <c r="J5" i="7" s="1"/>
  <c r="Z5" i="7" s="1"/>
  <c r="U6" i="4"/>
  <c r="I6" i="7" s="1"/>
  <c r="U7" i="4"/>
  <c r="I7" i="7" s="1"/>
  <c r="G2" i="7"/>
  <c r="H2" i="7"/>
  <c r="V3" i="4" l="1"/>
  <c r="J3" i="7" s="1"/>
  <c r="Z3" i="7" s="1"/>
  <c r="V2" i="4"/>
  <c r="J2" i="7" s="1"/>
  <c r="Z2" i="7" s="1"/>
  <c r="V6" i="4"/>
  <c r="J6" i="7" s="1"/>
  <c r="Z6" i="7" s="1"/>
  <c r="I5" i="7"/>
  <c r="I3" i="7"/>
  <c r="V4" i="4"/>
  <c r="J4" i="7" s="1"/>
  <c r="Z4" i="7" s="1"/>
  <c r="V7" i="4"/>
  <c r="J7" i="7" s="1"/>
  <c r="Z7" i="7" s="1"/>
  <c r="AA2" i="7" l="1"/>
  <c r="AA6" i="7"/>
  <c r="AA5" i="7"/>
  <c r="AA4" i="7"/>
  <c r="AA7" i="7"/>
  <c r="AA3" i="7"/>
  <c r="B2" i="8"/>
  <c r="C2" i="8" l="1" a="1"/>
  <c r="C2" i="8" s="1"/>
  <c r="E2" i="8" s="1"/>
  <c r="B3" i="8" a="1"/>
  <c r="B3" i="8" s="1"/>
  <c r="C3" i="8" s="1" a="1"/>
  <c r="C3" i="8" s="1"/>
  <c r="G3" i="8" s="1" a="1"/>
  <c r="G3" i="8" s="1"/>
  <c r="G2" i="8" l="1" a="1"/>
  <c r="G2" i="8" s="1"/>
  <c r="D3" i="8" a="1"/>
  <c r="D3" i="8" s="1"/>
  <c r="F3" i="8" s="1"/>
  <c r="E3" i="8"/>
  <c r="D2" i="8" a="1"/>
  <c r="D2" i="8" s="1"/>
  <c r="F2" i="8" s="1"/>
  <c r="H2" i="8" s="1" a="1"/>
  <c r="H2" i="8" s="1"/>
  <c r="H3" i="8" l="1" a="1"/>
  <c r="H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みやざきへるにあ</author>
  </authors>
  <commentList>
    <comment ref="N1" authorId="0" shapeId="0" xr:uid="{2648FF94-BF24-494A-9C42-59776161FE2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🎯 この列が意味するもの
- H列（ST評価）
→ 攻め気配そのもの（F→負値変換で精度UP）
- K列（直線評価）
→ 攻めが届くかどうかの“伸び”
この2つが揃って初めて
「攻めが成立する艇」
として扱える。
</t>
        </r>
      </text>
    </comment>
    <comment ref="O1" authorId="0" shapeId="0" xr:uid="{C9403E53-80BA-450C-A9AB-D8DCA29F21FD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🎯 この列が意味するもの
- 高いほど安定して走れる艇
- まくり差し・差しの成功率に直結
- 展開予測で「残す艇」「崩れにくい艇」を判断する基礎になる
</t>
        </r>
      </text>
    </comment>
    <comment ref="P1" authorId="0" shapeId="0" xr:uid="{CCEA399C-B5A3-4CB9-813B-9505AB118446}">
      <text>
        <r>
          <rPr>
            <b/>
            <sz val="9"/>
            <color indexed="81"/>
            <rFont val="MS P ゴシック"/>
            <family val="3"/>
            <charset val="128"/>
          </rPr>
          <t>🎯 この列が意味するもの
•  プラス → 展示で上積みがあった艇
→ 展開予測で“格上げ”候補
•  マイナス → 展示で評価が落ちた艇
→ 展開予測で“格下げ”候補
•  0付近 → 展示で大きな変化なし
宮崎さんのロジックでは、
この Q列が 展示タイプ補正（S列） や 展開予測の攻め艇選定 に効いてくる重要な指標になる。</t>
        </r>
      </text>
    </comment>
    <comment ref="Q1" authorId="0" shapeId="0" xr:uid="{7DCA6227-9059-4BCF-A78C-9E2F98182233}">
      <text>
        <r>
          <rPr>
            <b/>
            <sz val="9"/>
            <color indexed="81"/>
            <rFont val="MS P ゴシック"/>
            <family val="3"/>
            <charset val="128"/>
          </rPr>
          <t>🎯 この列の意味
•  展示の総合力を一つの数値に集約
•  展開予測の基礎スコアとして使える
•  展示補正スコア（Q列）や展示タイプ補正（S列）と組み合わせると
→ “攻め艇” “残す艇” “弱い艇” が明確に分かれる</t>
        </r>
      </text>
    </comment>
    <comment ref="R1" authorId="0" shapeId="0" xr:uid="{4D21A0C2-B4C2-476C-8023-DB108D9CE48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🎯 この式のポイント
- 攻め型判定は O が P より2以上高いとき
→ ST＋直線が強い艇（5号艇など）
- 差し型判定は P が O より2以上高いとき
→ 周回＋周り足が強い艇（3号艇など）
- 伸び型は直線評価が上位1以内
→ 6号艇のような典型的伸び型を拾える
- どれにも当てはまらなければ 0（バランス型）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みやざきへるにあ</author>
  </authors>
  <commentList>
    <comment ref="N1" authorId="0" shapeId="0" xr:uid="{EEC51429-FD27-409F-AD97-AE598BC1C55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🎯 この列が意味するもの
- H列（ST評価）
→ 攻め気配そのもの（F→負値変換で精度UP）
- K列（直線評価）
→ 攻めが届くかどうかの“伸び”
この2つが揃って初めて
「攻めが成立する艇」
として扱える。
</t>
        </r>
      </text>
    </comment>
    <comment ref="O1" authorId="0" shapeId="0" xr:uid="{1E3B2C1A-D124-4F4B-ACBD-06AC0BF1900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🎯 この列が意味するもの
- 高いほど安定して走れる艇
- まくり差し・差しの成功率に直結
- 展開予測で「残す艇」「崩れにくい艇」を判断する基礎になる
</t>
        </r>
      </text>
    </comment>
    <comment ref="P1" authorId="0" shapeId="0" xr:uid="{CE7E34DF-8A70-4655-A974-DC24FE065369}">
      <text>
        <r>
          <rPr>
            <b/>
            <sz val="9"/>
            <color indexed="81"/>
            <rFont val="MS P ゴシック"/>
            <family val="3"/>
            <charset val="128"/>
          </rPr>
          <t>🎯 この列が意味するもの
•  プラス → 展示で上積みがあった艇
→ 展開予測で“格上げ”候補
•  マイナス → 展示で評価が落ちた艇
→ 展開予測で“格下げ”候補
•  0付近 → 展示で大きな変化なし
宮崎さんのロジックでは、
この Q列が 展示タイプ補正（S列） や 展開予測の攻め艇選定 に効いてくる重要な指標になる。</t>
        </r>
      </text>
    </comment>
    <comment ref="Q1" authorId="0" shapeId="0" xr:uid="{A03E5F1B-794F-48C0-A144-83D88C52CD1A}">
      <text>
        <r>
          <rPr>
            <b/>
            <sz val="9"/>
            <color indexed="81"/>
            <rFont val="MS P ゴシック"/>
            <family val="3"/>
            <charset val="128"/>
          </rPr>
          <t>🎯 この列の意味
•  展示の総合力を一つの数値に集約
•  展開予測の基礎スコアとして使える
•  展示補正スコア（Q列）や展示タイプ補正（S列）と組み合わせると
→ “攻め艇” “残す艇” “弱い艇” が明確に分かれる</t>
        </r>
      </text>
    </comment>
    <comment ref="R1" authorId="0" shapeId="0" xr:uid="{6237920D-FF58-4E7F-8036-8F22E9F6DF6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🎯 この式のポイント
- 攻め型判定は O が P より2以上高いとき
→ ST＋直線が強い艇（5号艇など）
- 差し型判定は P が O より2以上高いとき
→ 周回＋周り足が強い艇（3号艇など）
- 伸び型は直線評価が上位1以内
→ 6号艇のような典型的伸び型を拾える
- どれにも当てはまらなければ 0（バランス型）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<sst xmlns="http://schemas.openxmlformats.org/spreadsheetml/2006/main" count="1104" uniqueCount="533">
  <si>
    <t>艇番</t>
  </si>
  <si>
    <t>選手名</t>
  </si>
  <si>
    <t>勝率</t>
  </si>
  <si>
    <t>当地勝率</t>
  </si>
  <si>
    <t>モーター</t>
  </si>
  <si>
    <t>ボート</t>
  </si>
  <si>
    <t>ST</t>
  </si>
  <si>
    <t>今節ST偏差</t>
    <rPh sb="0" eb="2">
      <t>コンセツ</t>
    </rPh>
    <rPh sb="4" eb="6">
      <t>ヘンサ</t>
    </rPh>
    <phoneticPr fontId="1"/>
  </si>
  <si>
    <t>フライング</t>
    <phoneticPr fontId="1"/>
  </si>
  <si>
    <t>級別</t>
  </si>
  <si>
    <t>支部</t>
  </si>
  <si>
    <t>勝率評価(10)</t>
  </si>
  <si>
    <t>当地評価(5)</t>
  </si>
  <si>
    <t>モーター評価(5)</t>
  </si>
  <si>
    <t>ボート評価(5)</t>
  </si>
  <si>
    <t>ST評価(5)</t>
  </si>
  <si>
    <t>地力スコア</t>
  </si>
  <si>
    <t>足スコア</t>
    <phoneticPr fontId="1"/>
  </si>
  <si>
    <t>スタートスコア</t>
  </si>
  <si>
    <t>フライングスコア</t>
    <phoneticPr fontId="1"/>
  </si>
  <si>
    <t>偏差ペナルティ</t>
    <phoneticPr fontId="1"/>
  </si>
  <si>
    <t>一次総合スコア</t>
    <phoneticPr fontId="1"/>
  </si>
  <si>
    <t>タイプ分類</t>
  </si>
  <si>
    <t>一次評価</t>
  </si>
  <si>
    <t>ここに公式から出走表を張り付ける</t>
    <rPh sb="3" eb="5">
      <t>コウシキ</t>
    </rPh>
    <rPh sb="7" eb="10">
      <t>シュッソウヒョウ</t>
    </rPh>
    <rPh sb="11" eb="12">
      <t>ハ</t>
    </rPh>
    <rPh sb="13" eb="14">
      <t>ツ</t>
    </rPh>
    <phoneticPr fontId="1"/>
  </si>
  <si>
    <t>ボートレーサー</t>
  </si>
  <si>
    <t>全国</t>
  </si>
  <si>
    <t>当地</t>
  </si>
  <si>
    <t>レースNo（艇番色）</t>
  </si>
  <si>
    <t>早見</t>
  </si>
  <si>
    <t>進入コース</t>
  </si>
  <si>
    <t>STタイミング</t>
  </si>
  <si>
    <t>写真</t>
  </si>
  <si>
    <t>登録番号/級別</t>
  </si>
  <si>
    <t>F数</t>
  </si>
  <si>
    <t>No</t>
  </si>
  <si>
    <t>成績</t>
  </si>
  <si>
    <t>氏名</t>
  </si>
  <si>
    <t>L数</t>
  </si>
  <si>
    <t>2連率</t>
  </si>
  <si>
    <t>支部/出身地</t>
  </si>
  <si>
    <t>平均ST</t>
  </si>
  <si>
    <t>3連率</t>
  </si>
  <si>
    <t>年齢/体重</t>
  </si>
  <si>
    <t>初日</t>
  </si>
  <si>
    <t>２日目</t>
  </si>
  <si>
    <t>３日目</t>
  </si>
  <si>
    <t>最終日</t>
  </si>
  <si>
    <t>F0</t>
  </si>
  <si>
    <t>L0</t>
  </si>
  <si>
    <t>今節成績</t>
  </si>
  <si>
    <t>艇番</t>
    <phoneticPr fontId="1"/>
  </si>
  <si>
    <t>展示タイム</t>
    <phoneticPr fontId="1"/>
  </si>
  <si>
    <t>周回</t>
  </si>
  <si>
    <t>周り足</t>
  </si>
  <si>
    <t>直線</t>
  </si>
  <si>
    <t>展示タイム場平均差</t>
    <phoneticPr fontId="1"/>
  </si>
  <si>
    <t>展示タイム評価(1〜5)</t>
    <phoneticPr fontId="1"/>
  </si>
  <si>
    <t>ST評価(1〜5)</t>
  </si>
  <si>
    <t>周回評価(1〜5)</t>
  </si>
  <si>
    <t>展示攻めポテンシャル</t>
    <phoneticPr fontId="1"/>
  </si>
  <si>
    <t>展示安定感</t>
  </si>
  <si>
    <t>展示補正スコア</t>
  </si>
  <si>
    <t>展示総合スコア</t>
  </si>
  <si>
    <t>展示タイプ補正</t>
    <phoneticPr fontId="1"/>
  </si>
  <si>
    <t>展示タイプ名</t>
    <phoneticPr fontId="1"/>
  </si>
  <si>
    <t>展開キー</t>
    <phoneticPr fontId="1"/>
  </si>
  <si>
    <t>展開もらい補正</t>
    <phoneticPr fontId="1"/>
  </si>
  <si>
    <t>最終二次予想スコア</t>
    <phoneticPr fontId="1"/>
  </si>
  <si>
    <t>展示情報</t>
  </si>
  <si>
    <t>直前情報</t>
  </si>
  <si>
    <t>進入</t>
  </si>
  <si>
    <t>展示</t>
  </si>
  <si>
    <t>枠</t>
  </si>
  <si>
    <t>期間</t>
  </si>
  <si>
    <t>逃げ</t>
  </si>
  <si>
    <t>差し</t>
  </si>
  <si>
    <t>まくり</t>
  </si>
  <si>
    <t>まくり差し</t>
  </si>
  <si>
    <t>逃し</t>
  </si>
  <si>
    <t>差され</t>
  </si>
  <si>
    <t>捲られ</t>
  </si>
  <si>
    <t>捲られ差</t>
  </si>
  <si>
    <t>1年</t>
  </si>
  <si>
    <t>6ヶ月</t>
  </si>
  <si>
    <t>※1段目の元ネタをここに張り付ける</t>
    <rPh sb="2" eb="4">
      <t>ダンメ</t>
    </rPh>
    <rPh sb="5" eb="6">
      <t>モト</t>
    </rPh>
    <rPh sb="12" eb="13">
      <t>ハ</t>
    </rPh>
    <rPh sb="14" eb="15">
      <t>ツ</t>
    </rPh>
    <phoneticPr fontId="1"/>
  </si>
  <si>
    <t>決まり手(総合)</t>
  </si>
  <si>
    <t>上:直近1年 | 下:直近6ヶ月</t>
  </si>
  <si>
    <t>捲り</t>
  </si>
  <si>
    <t>捲り差し</t>
  </si>
  <si>
    <t>枠番</t>
  </si>
  <si>
    <t>直近6ヶ月3連対率</t>
    <phoneticPr fontId="1"/>
  </si>
  <si>
    <t>直近3ヶ月3連対率</t>
    <phoneticPr fontId="1"/>
  </si>
  <si>
    <t>展示タイプ名（T）</t>
  </si>
  <si>
    <t>展示タイプ補正（S）</t>
  </si>
  <si>
    <t>展開キー（U）</t>
  </si>
  <si>
    <t>展開もらい補正（V）</t>
  </si>
  <si>
    <t>最終二次予想スコア（W）</t>
    <phoneticPr fontId="1"/>
  </si>
  <si>
    <t>逃げ率（6ヶ月）</t>
  </si>
  <si>
    <t>差し率（6ヶ月）</t>
  </si>
  <si>
    <t>まくり差し率（6ヶ月）</t>
  </si>
  <si>
    <t>逃し率（6ヶ月）</t>
  </si>
  <si>
    <t>差され率（6ヶ月）</t>
  </si>
  <si>
    <t>捲られ率（6ヶ月）</t>
  </si>
  <si>
    <t>捲られ差し率（6ヶ月）</t>
  </si>
  <si>
    <t>決まり手タイプ</t>
  </si>
  <si>
    <t>決まり手補正（X）</t>
  </si>
  <si>
    <t>三次予想スコア</t>
    <phoneticPr fontId="1"/>
  </si>
  <si>
    <t>切る艇</t>
    <phoneticPr fontId="1"/>
  </si>
  <si>
    <t>3連対率をここに張る</t>
    <rPh sb="1" eb="4">
      <t>レンタイリツ</t>
    </rPh>
    <rPh sb="8" eb="9">
      <t>ハ</t>
    </rPh>
    <phoneticPr fontId="1"/>
  </si>
  <si>
    <t>3連対率(総合)</t>
  </si>
  <si>
    <t>直近6ヶ月</t>
  </si>
  <si>
    <t>直近3ヶ月</t>
  </si>
  <si>
    <t>本命/対抗</t>
    <rPh sb="0" eb="2">
      <t>ホンメイ</t>
    </rPh>
    <rPh sb="3" eb="5">
      <t>タイコウ</t>
    </rPh>
    <phoneticPr fontId="1"/>
  </si>
  <si>
    <t>頭</t>
    <phoneticPr fontId="1"/>
  </si>
  <si>
    <t>相手候補</t>
  </si>
  <si>
    <t>切る艇</t>
    <rPh sb="0" eb="1">
      <t>キ</t>
    </rPh>
    <rPh sb="2" eb="3">
      <t>テイ</t>
    </rPh>
    <phoneticPr fontId="1"/>
  </si>
  <si>
    <t>相手候補（加工）</t>
    <phoneticPr fontId="1"/>
  </si>
  <si>
    <t>切る艇（加工）</t>
    <phoneticPr fontId="1"/>
  </si>
  <si>
    <t>三次予想スコア（参照）</t>
    <phoneticPr fontId="1"/>
  </si>
  <si>
    <t>買い目候補（3連単）</t>
    <phoneticPr fontId="1"/>
  </si>
  <si>
    <t>本命</t>
    <rPh sb="0" eb="2">
      <t>ホンメイ</t>
    </rPh>
    <phoneticPr fontId="1"/>
  </si>
  <si>
    <t>対抗</t>
    <rPh sb="0" eb="2">
      <t>タイコウ</t>
    </rPh>
    <phoneticPr fontId="1"/>
  </si>
  <si>
    <t>■タイプ分類18種類</t>
    <rPh sb="8" eb="10">
      <t>シュルイ</t>
    </rPh>
    <phoneticPr fontId="1"/>
  </si>
  <si>
    <t>■戸田競艇の展示タイム6か月平均</t>
    <rPh sb="1" eb="5">
      <t>トダキョウテイ</t>
    </rPh>
    <rPh sb="6" eb="8">
      <t>テンジ</t>
    </rPh>
    <rPh sb="13" eb="14">
      <t>ゲツ</t>
    </rPh>
    <rPh sb="14" eb="16">
      <t>ヘイキン</t>
    </rPh>
    <phoneticPr fontId="1"/>
  </si>
  <si>
    <t>stadium_name</t>
  </si>
  <si>
    <t>avg_exhibition_6m</t>
  </si>
  <si>
    <t>攻め候補（本命）</t>
  </si>
  <si>
    <t>戸田</t>
  </si>
  <si>
    <t>攻め候補（次点）</t>
  </si>
  <si>
    <t>攻め型（展示次第）</t>
  </si>
  <si>
    <t>逃げ信頼（強）</t>
  </si>
  <si>
    <t>逃げ信頼（中）</t>
  </si>
  <si>
    <t>逃げ弱め</t>
  </si>
  <si>
    <t>差し型（2コース）</t>
  </si>
  <si>
    <t>展開もらい（強）</t>
  </si>
  <si>
    <t>展開もらい（普通）</t>
  </si>
  <si>
    <t>展開もらい（弱）</t>
  </si>
  <si>
    <t>外残り（強）</t>
  </si>
  <si>
    <t>外残り（普通）</t>
  </si>
  <si>
    <t>外弱い</t>
  </si>
  <si>
    <t>足強い地力弱い</t>
  </si>
  <si>
    <t>足弱い地力強い</t>
  </si>
  <si>
    <t>展示依存型</t>
  </si>
  <si>
    <t>スタート型</t>
  </si>
  <si>
    <t>安定型</t>
  </si>
  <si>
    <t>6艇平均</t>
    <rPh sb="1" eb="2">
      <t>テイ</t>
    </rPh>
    <rPh sb="2" eb="4">
      <t>ヘイキン</t>
    </rPh>
    <phoneticPr fontId="1"/>
  </si>
  <si>
    <t>周り足評価(1〜5)</t>
    <phoneticPr fontId="1"/>
  </si>
  <si>
    <t>直線評価(1〜5)</t>
    <phoneticPr fontId="1"/>
  </si>
  <si>
    <t>展示足トータル</t>
    <phoneticPr fontId="1"/>
  </si>
  <si>
    <t>期待値</t>
    <rPh sb="0" eb="3">
      <t>キタイチ</t>
    </rPh>
    <phoneticPr fontId="1"/>
  </si>
  <si>
    <t>展示総合スコア（R）</t>
    <phoneticPr fontId="1"/>
  </si>
  <si>
    <t>展開フラグ_差し</t>
    <rPh sb="0" eb="2">
      <t>テンカイ</t>
    </rPh>
    <rPh sb="6" eb="7">
      <t>サ</t>
    </rPh>
    <phoneticPr fontId="1"/>
  </si>
  <si>
    <t>展開フラグ_まくり</t>
    <rPh sb="0" eb="2">
      <t>テンカイ</t>
    </rPh>
    <phoneticPr fontId="1"/>
  </si>
  <si>
    <t>展開フラグ_まくり差し</t>
    <rPh sb="0" eb="2">
      <t>テンカイ</t>
    </rPh>
    <rPh sb="9" eb="10">
      <t>サ</t>
    </rPh>
    <phoneticPr fontId="1"/>
  </si>
  <si>
    <t>展開フラグ_逃し</t>
    <rPh sb="0" eb="2">
      <t>テンカイ</t>
    </rPh>
    <rPh sb="6" eb="7">
      <t>ノガ</t>
    </rPh>
    <phoneticPr fontId="1"/>
  </si>
  <si>
    <t>-</t>
    <phoneticPr fontId="1"/>
  </si>
  <si>
    <t>まくり率（6ヶ月）</t>
    <phoneticPr fontId="1"/>
  </si>
  <si>
    <t>モーター・ボート変更時は赤で表示されます。</t>
  </si>
  <si>
    <t>レースコード</t>
  </si>
  <si>
    <t>3連単_組番</t>
  </si>
  <si>
    <t>race_code</t>
  </si>
  <si>
    <t>trifecta_combination</t>
  </si>
  <si>
    <t>5-1-3</t>
  </si>
  <si>
    <t>1-4-5</t>
  </si>
  <si>
    <t>1-3-2</t>
  </si>
  <si>
    <t>1-2-3</t>
  </si>
  <si>
    <t>2-1-4</t>
  </si>
  <si>
    <t>1-2-4</t>
  </si>
  <si>
    <t>1-3-4</t>
  </si>
  <si>
    <t>1-4-3</t>
  </si>
  <si>
    <t>3-1-4</t>
  </si>
  <si>
    <t>4-5-1</t>
  </si>
  <si>
    <t>４日目</t>
  </si>
  <si>
    <t>５日目</t>
  </si>
  <si>
    <t>埼玉/埼玉</t>
  </si>
  <si>
    <t>3・2・5</t>
  </si>
  <si>
    <t>1・2・5</t>
  </si>
  <si>
    <t>F.02</t>
  </si>
  <si>
    <t>1・5・4</t>
  </si>
  <si>
    <t>2・5・4</t>
  </si>
  <si>
    <t>5・1・3</t>
  </si>
  <si>
    <t>4・1・3</t>
  </si>
  <si>
    <t>37歳/52.0kg</t>
  </si>
  <si>
    <t>2・3・4</t>
  </si>
  <si>
    <t>1・3・4</t>
  </si>
  <si>
    <t>6・4・2</t>
  </si>
  <si>
    <t>3・4・2</t>
  </si>
  <si>
    <t>1・3・6</t>
  </si>
  <si>
    <t>4・3・6</t>
  </si>
  <si>
    <t>5・2・4</t>
  </si>
  <si>
    <t>3・2・4</t>
  </si>
  <si>
    <t>埼玉/東京</t>
  </si>
  <si>
    <t>6・2・4</t>
  </si>
  <si>
    <t>1・2・4</t>
  </si>
  <si>
    <t>1・4・2</t>
  </si>
  <si>
    <t>24歳/52.0kg</t>
  </si>
  <si>
    <t>4・2・5</t>
  </si>
  <si>
    <t>埼玉/福島</t>
  </si>
  <si>
    <t>44歳/52.0kg</t>
  </si>
  <si>
    <t>1・4・5</t>
  </si>
  <si>
    <t>2・4・5</t>
  </si>
  <si>
    <t>5132 / A1</t>
  </si>
  <si>
    <t>中野　　希一</t>
  </si>
  <si>
    <t>26歳/52.9kg</t>
  </si>
  <si>
    <t>4144 / A2</t>
  </si>
  <si>
    <t>石塚　　久也</t>
  </si>
  <si>
    <t>4547 / A1</t>
  </si>
  <si>
    <t>中田　　竜太</t>
  </si>
  <si>
    <t>37歳/51.0kg</t>
  </si>
  <si>
    <t>4573 / A1</t>
  </si>
  <si>
    <t>佐藤　　　翼</t>
  </si>
  <si>
    <t>5191 / A1</t>
  </si>
  <si>
    <t>飛田　　江己</t>
  </si>
  <si>
    <t>5087 / A2</t>
  </si>
  <si>
    <t>佐藤　　　航</t>
  </si>
  <si>
    <t>26歳/52.0kg</t>
  </si>
  <si>
    <t>4・3・5</t>
  </si>
  <si>
    <t>2・3・5</t>
  </si>
  <si>
    <t>戸田1レース</t>
    <rPh sb="0" eb="2">
      <t>トダ</t>
    </rPh>
    <phoneticPr fontId="1"/>
  </si>
  <si>
    <t>頭</t>
    <rPh sb="0" eb="1">
      <t>アタマ</t>
    </rPh>
    <phoneticPr fontId="1"/>
  </si>
  <si>
    <t>相手候補</t>
    <rPh sb="0" eb="4">
      <t>アイテコウホ</t>
    </rPh>
    <phoneticPr fontId="1"/>
  </si>
  <si>
    <t>Excel予想本命</t>
    <rPh sb="5" eb="7">
      <t>ヨソウ</t>
    </rPh>
    <rPh sb="7" eb="9">
      <t>ホンメイ</t>
    </rPh>
    <phoneticPr fontId="1"/>
  </si>
  <si>
    <t>Excel予想対抗</t>
    <rPh sb="5" eb="7">
      <t>ヨソウ</t>
    </rPh>
    <rPh sb="7" eb="9">
      <t>タイコウ</t>
    </rPh>
    <phoneticPr fontId="1"/>
  </si>
  <si>
    <t>3連複なら的中率高いかも？</t>
    <rPh sb="1" eb="3">
      <t>レンフク</t>
    </rPh>
    <rPh sb="5" eb="8">
      <t>テキチュウリツ</t>
    </rPh>
    <rPh sb="8" eb="9">
      <t>タカ</t>
    </rPh>
    <phoneticPr fontId="1"/>
  </si>
  <si>
    <t>大前提：race_codeが全体を紐づけるもの。YYYYMMDD+場コード+レース番号となる。例:2026/1/25の大村1Rの場合→20260124OMR01</t>
  </si>
  <si>
    <t>大前提：race_codeが全体を紐づけるもの。YYYYMMDD+場コード+レース番号となる。例:2026/1/25の大村1Rの場合→20260124OMR01</t>
    <rPh sb="0" eb="3">
      <t>ダイゼンテイ</t>
    </rPh>
    <rPh sb="14" eb="16">
      <t>ゼンタイ</t>
    </rPh>
    <rPh sb="17" eb="18">
      <t>ヒモ</t>
    </rPh>
    <rPh sb="33" eb="34">
      <t>ジョウ</t>
    </rPh>
    <rPh sb="41" eb="43">
      <t>バンゴウ</t>
    </rPh>
    <rPh sb="47" eb="48">
      <t>レイ</t>
    </rPh>
    <rPh sb="59" eb="61">
      <t>オオムラ</t>
    </rPh>
    <rPh sb="64" eb="66">
      <t>バアイ</t>
    </rPh>
    <phoneticPr fontId="1"/>
  </si>
  <si>
    <t>フライング</t>
  </si>
  <si>
    <t>足スコア</t>
  </si>
  <si>
    <t>フライングスコア</t>
  </si>
  <si>
    <t>偏差ペナルティ</t>
  </si>
  <si>
    <t>一次総合スコア</t>
  </si>
  <si>
    <t>中野　希一</t>
  </si>
  <si>
    <t>A1</t>
  </si>
  <si>
    <t>埼玉/</t>
  </si>
  <si>
    <t>石塚　久也</t>
  </si>
  <si>
    <t>A2</t>
  </si>
  <si>
    <t>中田　竜太</t>
  </si>
  <si>
    <t>佐藤　翼</t>
  </si>
  <si>
    <t>飛田　江己</t>
  </si>
  <si>
    <t>佐藤　航</t>
  </si>
  <si>
    <t>boat_race.race_entry</t>
  </si>
  <si>
    <t>boat_race.race_entry</t>
    <phoneticPr fontId="1"/>
  </si>
  <si>
    <t>lane_number</t>
  </si>
  <si>
    <t>player_name</t>
  </si>
  <si>
    <t>boat_race.player_stats</t>
  </si>
  <si>
    <t>national_win_rate</t>
  </si>
  <si>
    <t>local_win_rate</t>
  </si>
  <si>
    <t>motor_exacta_rate</t>
  </si>
  <si>
    <t>boat_exacta_rate</t>
  </si>
  <si>
    <r>
      <t>boat_race</t>
    </r>
    <r>
      <rPr>
        <sz val="11"/>
        <color rgb="FF808080"/>
        <rFont val="ＭＳ ゴシック"/>
        <family val="3"/>
        <charset val="128"/>
      </rPr>
      <t>.</t>
    </r>
    <r>
      <rPr>
        <sz val="11"/>
        <color theme="1"/>
        <rFont val="ＭＳ ゴシック"/>
        <family val="3"/>
        <charset val="128"/>
      </rPr>
      <t>engine_specs</t>
    </r>
  </si>
  <si>
    <t>-</t>
  </si>
  <si>
    <t>boat_race.racer_results</t>
  </si>
  <si>
    <t>boat_race.racer_results</t>
    <phoneticPr fontId="1"/>
  </si>
  <si>
    <t>class</t>
  </si>
  <si>
    <t>average_start</t>
  </si>
  <si>
    <t>branch</t>
  </si>
  <si>
    <t>term_infoが最新のものを対象</t>
    <rPh sb="10" eb="12">
      <t>サイシン</t>
    </rPh>
    <rPh sb="16" eb="18">
      <t>タイショウ</t>
    </rPh>
    <phoneticPr fontId="1"/>
  </si>
  <si>
    <t>不要</t>
  </si>
  <si>
    <t>不要</t>
    <rPh sb="0" eb="2">
      <t>フヨウ</t>
    </rPh>
    <phoneticPr fontId="1"/>
  </si>
  <si>
    <t>未取得</t>
  </si>
  <si>
    <t>未取得</t>
    <rPh sb="0" eb="3">
      <t>ミシュトク</t>
    </rPh>
    <phoneticPr fontId="1"/>
  </si>
  <si>
    <t>数式</t>
  </si>
  <si>
    <t>数式</t>
    <rPh sb="0" eb="2">
      <t>スウシキ</t>
    </rPh>
    <phoneticPr fontId="1"/>
  </si>
  <si>
    <t>boat_race.engine_specs</t>
  </si>
  <si>
    <t>term_infoが最新のものを対象</t>
  </si>
  <si>
    <t>今節ST偏差</t>
  </si>
  <si>
    <t>=MIN(10, MAX(1, C2 * 1.2))</t>
    <phoneticPr fontId="1"/>
  </si>
  <si>
    <t>=MIN(10, MAX(1, C3 * 1.2))</t>
    <phoneticPr fontId="1"/>
  </si>
  <si>
    <t>=MIN(10, MAX(1, C4 * 1.2))</t>
    <phoneticPr fontId="1"/>
  </si>
  <si>
    <t>=MIN(10, MAX(1, C5 * 1.2))</t>
    <phoneticPr fontId="1"/>
  </si>
  <si>
    <t>=MIN(10, MAX(1, C6 * 1.2))</t>
    <phoneticPr fontId="1"/>
  </si>
  <si>
    <t>=MIN(10, MAX(1, C7 * 1.2))</t>
    <phoneticPr fontId="1"/>
  </si>
  <si>
    <t>=MIN(5, MAX(1, (D2 - 4) * 2))</t>
    <phoneticPr fontId="1"/>
  </si>
  <si>
    <t>=MIN(5, MAX(1, (D3 - 4) * 2))</t>
    <phoneticPr fontId="1"/>
  </si>
  <si>
    <t>=MIN(5, MAX(1, (D4 - 4) * 2))</t>
    <phoneticPr fontId="1"/>
  </si>
  <si>
    <t>=MIN(5, MAX(1, (D5 - 4) * 2))</t>
    <phoneticPr fontId="1"/>
  </si>
  <si>
    <t>=MIN(5, MAX(1, (D6 - 4) * 2))</t>
    <phoneticPr fontId="1"/>
  </si>
  <si>
    <t>=MIN(5, MAX(1, (D7 - 4) * 2))</t>
    <phoneticPr fontId="1"/>
  </si>
  <si>
    <t>=MIN(5, MAX(1, (E2 - 25) / 4))</t>
    <phoneticPr fontId="1"/>
  </si>
  <si>
    <t>=MIN(5, MAX(1, (E3 - 25) / 4))</t>
    <phoneticPr fontId="1"/>
  </si>
  <si>
    <t>=MIN(5, MAX(1, (E4 - 25) / 4))</t>
    <phoneticPr fontId="1"/>
  </si>
  <si>
    <t>=MIN(5, MAX(1, (E5 - 25) / 4))</t>
    <phoneticPr fontId="1"/>
  </si>
  <si>
    <t>=MIN(5, MAX(1, (E6 - 25) / 4))</t>
    <phoneticPr fontId="1"/>
  </si>
  <si>
    <t>=MIN(5, MAX(1, (E7 - 25) / 4))</t>
    <phoneticPr fontId="1"/>
  </si>
  <si>
    <t>=MIN(5, MAX(1, (F2 - 25) / 4))</t>
    <phoneticPr fontId="1"/>
  </si>
  <si>
    <t>=MIN(5, MAX(1, (F3 - 25) / 4))</t>
    <phoneticPr fontId="1"/>
  </si>
  <si>
    <t>=MIN(5, MAX(1, (F4 - 25) / 4))</t>
    <phoneticPr fontId="1"/>
  </si>
  <si>
    <t>=MIN(5, MAX(1, (F5 - 25) / 4))</t>
    <phoneticPr fontId="1"/>
  </si>
  <si>
    <t>=MIN(5, MAX(1, (F6 - 25) / 4))</t>
    <phoneticPr fontId="1"/>
  </si>
  <si>
    <t>=MIN(5, MAX(1, (F7 - 25) / 4))</t>
    <phoneticPr fontId="1"/>
  </si>
  <si>
    <t>=MIN(5, MAX(1, 8 - (G2 * 30)))</t>
    <phoneticPr fontId="1"/>
  </si>
  <si>
    <t>=MIN(5, MAX(1, 8 - (G3 * 30)))</t>
    <phoneticPr fontId="1"/>
  </si>
  <si>
    <t>=MIN(5, MAX(1, 8 - (G4 * 30)))</t>
    <phoneticPr fontId="1"/>
  </si>
  <si>
    <t>=MIN(5, MAX(1, 8 - (G5 * 30)))</t>
    <phoneticPr fontId="1"/>
  </si>
  <si>
    <t>=MIN(5, MAX(1, 8 - (G6 * 30)))</t>
    <phoneticPr fontId="1"/>
  </si>
  <si>
    <t>=MIN(5, MAX(1, 8 - (G7 * 30)))</t>
    <phoneticPr fontId="1"/>
  </si>
  <si>
    <t>=J2 + K2</t>
    <phoneticPr fontId="1"/>
  </si>
  <si>
    <t>=J3 + K3</t>
    <phoneticPr fontId="1"/>
  </si>
  <si>
    <t>=J4 + K4</t>
    <phoneticPr fontId="1"/>
  </si>
  <si>
    <t>=J5 + K5</t>
    <phoneticPr fontId="1"/>
  </si>
  <si>
    <t>=J6 + K6</t>
    <phoneticPr fontId="1"/>
  </si>
  <si>
    <t>=J7 + K7</t>
    <phoneticPr fontId="1"/>
  </si>
  <si>
    <t>=L2 + M2</t>
    <phoneticPr fontId="1"/>
  </si>
  <si>
    <t>=L3 + M3</t>
    <phoneticPr fontId="1"/>
  </si>
  <si>
    <t>=L4 + M4</t>
    <phoneticPr fontId="1"/>
  </si>
  <si>
    <t>=L5 + M5</t>
    <phoneticPr fontId="1"/>
  </si>
  <si>
    <t>=L6 + M6</t>
    <phoneticPr fontId="1"/>
  </si>
  <si>
    <t>=L7 + M7</t>
    <phoneticPr fontId="1"/>
  </si>
  <si>
    <t>=N2</t>
    <phoneticPr fontId="1"/>
  </si>
  <si>
    <t>=N3</t>
    <phoneticPr fontId="1"/>
  </si>
  <si>
    <t>=N4</t>
    <phoneticPr fontId="1"/>
  </si>
  <si>
    <t>=N5</t>
    <phoneticPr fontId="1"/>
  </si>
  <si>
    <t>=N6</t>
    <phoneticPr fontId="1"/>
  </si>
  <si>
    <t>=N7</t>
    <phoneticPr fontId="1"/>
  </si>
  <si>
    <t>=O2 + P2 + Q2+#REF!+#REF!</t>
    <phoneticPr fontId="1"/>
  </si>
  <si>
    <t>=O3 + P3 + Q3+#REF!+#REF!</t>
    <phoneticPr fontId="1"/>
  </si>
  <si>
    <t>=O4 + P4 + Q4+#REF!+#REF!</t>
    <phoneticPr fontId="1"/>
  </si>
  <si>
    <t>=O5 + P5 + Q5+#REF!+#REF!</t>
    <phoneticPr fontId="1"/>
  </si>
  <si>
    <t>=O6 + P6 + Q6+#REF!+#REF!</t>
    <phoneticPr fontId="1"/>
  </si>
  <si>
    <t>=O7 + P7 + Q7+#REF!+#REF!</t>
    <phoneticPr fontId="1"/>
  </si>
  <si>
    <t>=IFS(
    A2=1, IF(R2&gt;=22,4, IF(R2&gt;=18,5, 6)),
    A2=6, IF(R2&gt;=22,11, IF(R2&gt;=18,12, 13)),
    R2&gt;=22, IF(J2&gt;=8,1,2),
    R2&gt;=20, 3,
    AND(J2&lt;=3, P2&gt;=7), 14,
    AND(J2&gt;=7, P2&lt;=5), 15,
    N2=5, 17,
    R2&gt;=18, 8,
    R2&gt;=15, 9,
    TRUE, 10
)</t>
    <phoneticPr fontId="1"/>
  </si>
  <si>
    <t>=IFS(
    A3=1, IF(R3&gt;=22,4, IF(R3&gt;=18,5, 6)),
    A3=6, IF(R3&gt;=22,11, IF(R3&gt;=18,12, 13)),
    R3&gt;=22, IF(J3&gt;=8,1,2),
    R3&gt;=20, 3,
    AND(J3&lt;=3, P3&gt;=7), 14,
    AND(J3&gt;=7, P3&lt;=5), 15,
    N3=5, 17,
    R3&gt;=18, 8,
    R3&gt;=15, 9,
    TRUE, 10
)</t>
    <phoneticPr fontId="1"/>
  </si>
  <si>
    <t>=IFS(
    A4=1, IF(R4&gt;=22,4, IF(R4&gt;=18,5, 6)),
    A4=6, IF(R4&gt;=22,11, IF(R4&gt;=18,12, 13)),
    R4&gt;=22, IF(J4&gt;=8,1,2),
    R4&gt;=20, 3,
    AND(J4&lt;=3, P4&gt;=7), 14,
    AND(J4&gt;=7, P4&lt;=5), 15,
    N4=5, 17,
    R4&gt;=18, 8,
    R4&gt;=15, 9,
    TRUE, 10
)</t>
    <phoneticPr fontId="1"/>
  </si>
  <si>
    <t>=IFS(
    A5=1, IF(R5&gt;=22,4, IF(R5&gt;=18,5, 6)),
    A5=6, IF(R5&gt;=22,11, IF(R5&gt;=18,12, 13)),
    R5&gt;=22, IF(J5&gt;=8,1,2),
    R5&gt;=20, 3,
    AND(J5&lt;=3, P5&gt;=7), 14,
    AND(J5&gt;=7, P5&lt;=5), 15,
    N5=5, 17,
    R5&gt;=18, 8,
    R5&gt;=15, 9,
    TRUE, 10
)</t>
    <phoneticPr fontId="1"/>
  </si>
  <si>
    <t>=IFS(
    A6=1, IF(R6&gt;=22,4, IF(R6&gt;=18,5, 6)),
    A6=6, IF(R6&gt;=22,11, IF(R6&gt;=18,12, 13)),
    R6&gt;=22, IF(J6&gt;=8,1,2),
    R6&gt;=20, 3,
    AND(J6&lt;=3, P6&gt;=7), 14,
    AND(J6&gt;=7, P6&lt;=5), 15,
    N6=5, 17,
    R6&gt;=18, 8,
    R6&gt;=15, 9,
    TRUE, 10
)</t>
    <phoneticPr fontId="1"/>
  </si>
  <si>
    <t>=IFS(
    A7=1, IF(R7&gt;=22,4, IF(R7&gt;=18,5, 6)),
    A7=6, IF(R7&gt;=22,11, IF(R7&gt;=18,12, 13)),
    R7&gt;=22, IF(J7&gt;=8,1,2),
    R7&gt;=20, 3,
    AND(J7&lt;=3, P7&gt;=7), 14,
    AND(J7&gt;=7, P7&lt;=5), 15,
    N7=5, 17,
    R7&gt;=18, 8,
    R7&gt;=15, 9,
    TRUE, 10
)</t>
    <phoneticPr fontId="1"/>
  </si>
  <si>
    <t>=IFS(
 S2=1,"◎",
 S2=2,"○",
 S2=3,"○",
 S2=4,"◎",
 S2=5,"○",
 S2=6,"×",
 S2=7,"△",
 S2=8,"○",
 S2=9,"△",
 S2=10,"×",
 S2=11,"△",
 S2=12,"△",
 S2=13,"×",
 S2=14,"△",
 S2=15,"△",
 S2=16,"△",
 S2=17,"○",
 S2=18,"△"
)</t>
    <phoneticPr fontId="1"/>
  </si>
  <si>
    <t>=IFS(
 S3=1,"◎",
 S3=2,"○",
 S3=3,"○",
 S3=4,"◎",
 S3=5,"○",
 S3=6,"×",
 S3=7,"△",
 S3=8,"○",
 S3=9,"△",
 S3=10,"×",
 S3=11,"△",
 S3=12,"△",
 S3=13,"×",
 S3=14,"△",
 S3=15,"△",
 S3=16,"△",
 S3=17,"○",
 S3=18,"△"
)</t>
    <phoneticPr fontId="1"/>
  </si>
  <si>
    <t>=IFS(
 S4=1,"◎",
 S4=2,"○",
 S4=3,"○",
 S4=4,"◎",
 S4=5,"○",
 S4=6,"×",
 S4=7,"△",
 S4=8,"○",
 S4=9,"△",
 S4=10,"×",
 S4=11,"△",
 S4=12,"△",
 S4=13,"×",
 S4=14,"△",
 S4=15,"△",
 S4=16,"△",
 S4=17,"○",
 S4=18,"△"
)</t>
    <phoneticPr fontId="1"/>
  </si>
  <si>
    <t>=IFS(
 S5=1,"◎",
 S5=2,"○",
 S5=3,"○",
 S5=4,"◎",
 S5=5,"○",
 S5=6,"×",
 S5=7,"△",
 S5=8,"○",
 S5=9,"△",
 S5=10,"×",
 S5=11,"△",
 S5=12,"△",
 S5=13,"×",
 S5=14,"△",
 S5=15,"△",
 S5=16,"△",
 S5=17,"○",
 S5=18,"△"
)</t>
    <phoneticPr fontId="1"/>
  </si>
  <si>
    <t>=IFS(
 S6=1,"◎",
 S6=2,"○",
 S6=3,"○",
 S6=4,"◎",
 S6=5,"○",
 S6=6,"×",
 S6=7,"△",
 S6=8,"○",
 S6=9,"△",
 S6=10,"×",
 S6=11,"△",
 S6=12,"△",
 S6=13,"×",
 S6=14,"△",
 S6=15,"△",
 S6=16,"△",
 S6=17,"○",
 S6=18,"△"
)</t>
    <phoneticPr fontId="1"/>
  </si>
  <si>
    <t>=IFS(
 S7=1,"◎",
 S7=2,"○",
 S7=3,"○",
 S7=4,"◎",
 S7=5,"○",
 S7=6,"×",
 S7=7,"△",
 S7=8,"○",
 S7=9,"△",
 S7=10,"×",
 S7=11,"△",
 S7=12,"△",
 S7=13,"×",
 S7=14,"△",
 S7=15,"△",
 S7=16,"△",
 S7=17,"○",
 S7=18,"△"
)</t>
    <phoneticPr fontId="1"/>
  </si>
  <si>
    <t>６日目</t>
  </si>
  <si>
    <t>5208 / B1</t>
  </si>
  <si>
    <t>屋良　　龍紀</t>
  </si>
  <si>
    <t>長崎/長崎</t>
  </si>
  <si>
    <t>28歳/51.5kg</t>
  </si>
  <si>
    <t>11R</t>
  </si>
  <si>
    <t>4875 / B1</t>
  </si>
  <si>
    <t>大塚　　康雅</t>
  </si>
  <si>
    <t>東京/神奈川</t>
  </si>
  <si>
    <t>31歳/50.5kg</t>
  </si>
  <si>
    <t>3401 / B1</t>
  </si>
  <si>
    <t>上田　　隆章</t>
  </si>
  <si>
    <t>香川/高知</t>
  </si>
  <si>
    <t>58歳/52.1kg</t>
  </si>
  <si>
    <t>7R</t>
  </si>
  <si>
    <t>4978 / B1</t>
  </si>
  <si>
    <t>山田　　和佐</t>
  </si>
  <si>
    <t>広島/島根</t>
  </si>
  <si>
    <t>31歳/52.7kg</t>
  </si>
  <si>
    <t>9R</t>
  </si>
  <si>
    <t>5358 / B1</t>
  </si>
  <si>
    <t>増本　　杏珠</t>
  </si>
  <si>
    <t>福岡/福岡</t>
  </si>
  <si>
    <t>20歳/49.1kg</t>
  </si>
  <si>
    <t>F1</t>
  </si>
  <si>
    <t>10R</t>
  </si>
  <si>
    <t>3701 / B1</t>
  </si>
  <si>
    <t>大西　　隆洋</t>
  </si>
  <si>
    <t>香川/愛媛</t>
  </si>
  <si>
    <t>52歳/55.5kg</t>
  </si>
  <si>
    <t>6R</t>
  </si>
  <si>
    <t>A列</t>
    <rPh sb="1" eb="2">
      <t>レツ</t>
    </rPh>
    <phoneticPr fontId="1"/>
  </si>
  <si>
    <t>B列</t>
    <rPh sb="1" eb="2">
      <t>レツ</t>
    </rPh>
    <phoneticPr fontId="1"/>
  </si>
  <si>
    <t>C列</t>
    <rPh sb="1" eb="2">
      <t>レツ</t>
    </rPh>
    <phoneticPr fontId="1"/>
  </si>
  <si>
    <t>D列</t>
    <rPh sb="1" eb="2">
      <t>レツ</t>
    </rPh>
    <phoneticPr fontId="1"/>
  </si>
  <si>
    <t>E列</t>
    <rPh sb="1" eb="2">
      <t>レツ</t>
    </rPh>
    <phoneticPr fontId="1"/>
  </si>
  <si>
    <t>F列</t>
    <rPh sb="1" eb="2">
      <t>レツ</t>
    </rPh>
    <phoneticPr fontId="1"/>
  </si>
  <si>
    <t>G列</t>
    <rPh sb="1" eb="2">
      <t>レツ</t>
    </rPh>
    <phoneticPr fontId="1"/>
  </si>
  <si>
    <t>H列</t>
    <rPh sb="1" eb="2">
      <t>レツ</t>
    </rPh>
    <phoneticPr fontId="1"/>
  </si>
  <si>
    <t>I列</t>
    <rPh sb="1" eb="2">
      <t>レツ</t>
    </rPh>
    <phoneticPr fontId="1"/>
  </si>
  <si>
    <t>J列</t>
    <rPh sb="1" eb="2">
      <t>レツ</t>
    </rPh>
    <phoneticPr fontId="1"/>
  </si>
  <si>
    <t>展示タイム</t>
  </si>
  <si>
    <t>展示タイム場平均差</t>
  </si>
  <si>
    <t>展示タイム評価(1〜5)</t>
  </si>
  <si>
    <t>周り足評価(1〜5)</t>
  </si>
  <si>
    <t>直線評価(1〜5)</t>
  </si>
  <si>
    <t>展示足トータル</t>
  </si>
  <si>
    <t>展示攻めポテンシャル</t>
  </si>
  <si>
    <t>展示タイプ補正</t>
  </si>
  <si>
    <t>展示タイプ名</t>
  </si>
  <si>
    <t>展開キー</t>
  </si>
  <si>
    <t>展開もらい補正</t>
  </si>
  <si>
    <t>最終二次予想スコア</t>
  </si>
  <si>
    <t>A~F列が展示情報をそのまま載せる</t>
    <rPh sb="3" eb="4">
      <t>レツ</t>
    </rPh>
    <rPh sb="5" eb="9">
      <t>テンジジョウホウ</t>
    </rPh>
    <rPh sb="14" eb="15">
      <t>ノ</t>
    </rPh>
    <phoneticPr fontId="1"/>
  </si>
  <si>
    <t>G列：～V列は数式を使って算出</t>
    <rPh sb="5" eb="6">
      <t>レツ</t>
    </rPh>
    <rPh sb="7" eb="9">
      <t>スウシキ</t>
    </rPh>
    <rPh sb="10" eb="11">
      <t>ツカ</t>
    </rPh>
    <rPh sb="13" eb="15">
      <t>サンシュツ</t>
    </rPh>
    <phoneticPr fontId="1"/>
  </si>
  <si>
    <t>A～F列は展示情報をそのまま載せる</t>
  </si>
  <si>
    <t>A列：艇番</t>
  </si>
  <si>
    <t>B列：展示タイム</t>
  </si>
  <si>
    <t>C列：ST</t>
  </si>
  <si>
    <t>D列：周回</t>
  </si>
  <si>
    <t>E列：周り足</t>
  </si>
  <si>
    <t>F列：直線</t>
  </si>
  <si>
    <t>G～V列は数式を使って算出</t>
  </si>
  <si>
    <t>I列：展示タイム場平均差</t>
  </si>
  <si>
    <t>J列：展示タイム評価(1〜5)</t>
  </si>
  <si>
    <t>K列：ST評価(1〜5)</t>
  </si>
  <si>
    <t>L列：周回評価(1〜5)</t>
  </si>
  <si>
    <t>M列：周り足評価(1〜5)</t>
  </si>
  <si>
    <t>N列：直線評価(1〜5)</t>
  </si>
  <si>
    <t>O列：展示足トータル</t>
  </si>
  <si>
    <t>P列：展示攻めポテンシャル</t>
  </si>
  <si>
    <t>Q列：展示安定感</t>
  </si>
  <si>
    <t>R列：展示補正スコア</t>
  </si>
  <si>
    <t>S列：展示総合スコア</t>
  </si>
  <si>
    <t>T列：展示タイプ補正</t>
  </si>
  <si>
    <t>U列：展示タイプ名</t>
  </si>
  <si>
    <t>V列：展開キー</t>
  </si>
  <si>
    <t>W列：展開もらい補正</t>
  </si>
  <si>
    <t>X列：最終二次予想スコア</t>
  </si>
  <si>
    <t>=IF(G2&lt;=-0.1, 5, IF(G2&lt;=-0.05, 4, IF(G2&lt;=0.05, 3, IF(G2&lt;=0.1, 2, 1))))</t>
    <phoneticPr fontId="1"/>
  </si>
  <si>
    <t>=IF(G3&lt;=-0.1, 5, IF(G3&lt;=-0.05, 4, IF(G3&lt;=0.05, 3, IF(G3&lt;=0.1, 2, 1))))</t>
    <phoneticPr fontId="1"/>
  </si>
  <si>
    <t>=IF(G4&lt;=-0.1, 5, IF(G4&lt;=-0.05, 4, IF(G4&lt;=0.05, 3, IF(G4&lt;=0.1, 2, 1))))</t>
    <phoneticPr fontId="1"/>
  </si>
  <si>
    <t>=IF(G5&lt;=-0.1, 5, IF(G5&lt;=-0.05, 4, IF(G5&lt;=0.05, 3, IF(G5&lt;=0.1, 2, 1))))</t>
    <phoneticPr fontId="1"/>
  </si>
  <si>
    <t>=IF(G6&lt;=-0.1, 5, IF(G6&lt;=-0.05, 4, IF(G6&lt;=0.05, 3, IF(G6&lt;=0.1, 2, 1))))</t>
    <phoneticPr fontId="1"/>
  </si>
  <si>
    <t>=IF(G7&lt;=-0.1, 5, IF(G7&lt;=-0.05, 4, IF(G7&lt;=0.05, 3, IF(G7&lt;=0.1, 2, 1))))</t>
    <phoneticPr fontId="1"/>
  </si>
  <si>
    <t>=IF(C2&lt;=-0.05, 1, IF(C2&lt;0, 2, IF(C2&lt;=0.05, 5, IF(C2&lt;=0.12, 4, IF(C2&lt;=0.2, 2, 1)))))</t>
    <phoneticPr fontId="1"/>
  </si>
  <si>
    <t>=IF(C3&lt;=-0.05, 1, IF(C3&lt;0, 2, IF(C3&lt;=0.05, 5, IF(C3&lt;=0.12, 4, IF(C3&lt;=0.2, 2, 1)))))</t>
    <phoneticPr fontId="1"/>
  </si>
  <si>
    <t>=IF(C4&lt;=-0.05, 1, IF(C4&lt;0, 2, IF(C4&lt;=0.05, 5, IF(C4&lt;=0.12, 4, IF(C4&lt;=0.2, 2, 1)))))</t>
    <phoneticPr fontId="1"/>
  </si>
  <si>
    <t>=IF(C5&lt;=-0.05, 1, IF(C5&lt;0, 2, IF(C5&lt;=0.05, 5, IF(C5&lt;=0.12, 4, IF(C5&lt;=0.2, 2, 1)))))</t>
    <phoneticPr fontId="1"/>
  </si>
  <si>
    <t>=IF(C6&lt;=-0.05, 1, IF(C6&lt;0, 2, IF(C6&lt;=0.05, 5, IF(C6&lt;=0.12, 4, IF(C6&lt;=0.2, 2, 1)))))</t>
    <phoneticPr fontId="1"/>
  </si>
  <si>
    <t>=IF(C7&lt;=-0.05, 1, IF(C7&lt;0, 2, IF(C7&lt;=0.05, 5, IF(C7&lt;=0.12, 4, IF(C7&lt;=0.2, 2, 1)))))</t>
    <phoneticPr fontId="1"/>
  </si>
  <si>
    <t>=IF(D2-$J$8&lt;=-0.3, 5, IF(D2-$J$8&lt;=-0.1, 4, IF(D2-$J$8&lt;=0.1, 3, IF(D2-$J$8&lt;=0.3, 2, 1))))</t>
    <phoneticPr fontId="1"/>
  </si>
  <si>
    <t>=IF(D3-$J$8&lt;=-0.3, 5, IF(D3-$J$8&lt;=-0.1, 4, IF(D3-$J$8&lt;=0.1, 3, IF(D3-$J$8&lt;=0.3, 2, 1))))</t>
    <phoneticPr fontId="1"/>
  </si>
  <si>
    <t>=IF(D4-$J$8&lt;=-0.3, 5, IF(D4-$J$8&lt;=-0.1, 4, IF(D4-$J$8&lt;=0.1, 3, IF(D4-$J$8&lt;=0.3, 2, 1))))</t>
    <phoneticPr fontId="1"/>
  </si>
  <si>
    <t>=IF(D5-$J$8&lt;=-0.3, 5, IF(D5-$J$8&lt;=-0.1, 4, IF(D5-$J$8&lt;=0.1, 3, IF(D5-$J$8&lt;=0.3, 2, 1))))</t>
    <phoneticPr fontId="1"/>
  </si>
  <si>
    <t>=IF(D6-$J$8&lt;=-0.3, 5, IF(D6-$J$8&lt;=-0.1, 4, IF(D6-$J$8&lt;=0.1, 3, IF(D6-$J$8&lt;=0.3, 2, 1))))</t>
    <phoneticPr fontId="1"/>
  </si>
  <si>
    <t>=IF(D7-$J$8&lt;=-0.3, 5, IF(D7-$J$8&lt;=-0.1, 4, IF(D7-$J$8&lt;=0.1, 3, IF(D7-$J$8&lt;=0.3, 2, 1))))</t>
    <phoneticPr fontId="1"/>
  </si>
  <si>
    <t>=IF(E2-$K$8&lt;=-0.2, 5, IF(E2-$K$8&lt;=-0.05, 4, IF(E2-$K$8&lt;=0.05, 3, IF(E2-$K$8&lt;=0.2, 2, 1))))</t>
    <phoneticPr fontId="1"/>
  </si>
  <si>
    <t>=IF(E3-$K$8&lt;=-0.2, 5, IF(E3-$K$8&lt;=-0.05, 4, IF(E3-$K$8&lt;=0.05, 3, IF(E3-$K$8&lt;=0.2, 2, 1))))</t>
    <phoneticPr fontId="1"/>
  </si>
  <si>
    <t>=IF(E4-$K$8&lt;=-0.2, 5, IF(E4-$K$8&lt;=-0.05, 4, IF(E4-$K$8&lt;=0.05, 3, IF(E4-$K$8&lt;=0.2, 2, 1))))</t>
    <phoneticPr fontId="1"/>
  </si>
  <si>
    <t>=IF(E5-$K$8&lt;=-0.2, 5, IF(E5-$K$8&lt;=-0.05, 4, IF(E5-$K$8&lt;=0.05, 3, IF(E5-$K$8&lt;=0.2, 2, 1))))</t>
    <phoneticPr fontId="1"/>
  </si>
  <si>
    <t>=IF(E6-$K$8&lt;=-0.2, 5, IF(E6-$K$8&lt;=-0.05, 4, IF(E6-$K$8&lt;=0.05, 3, IF(E6-$K$8&lt;=0.2, 2, 1))))</t>
    <phoneticPr fontId="1"/>
  </si>
  <si>
    <t>=IF(E7-$K$8&lt;=-0.2, 5, IF(E7-$K$8&lt;=-0.05, 4, IF(E7-$K$8&lt;=0.05, 3, IF(E7-$K$8&lt;=0.2, 2, 1))))</t>
    <phoneticPr fontId="1"/>
  </si>
  <si>
    <t>=IF(F2-$L$8&lt;=-0.04, 5, IF(F2-$L$8&lt;=-0.01, 4, IF(F2-$L$8&lt;=0.01, 3, IF(F2-$L$8&lt;=0.04, 2, 1))))</t>
    <phoneticPr fontId="1"/>
  </si>
  <si>
    <t>=IF(F3-$L$8&lt;=-0.04, 5, IF(F3-$L$8&lt;=-0.01, 4, IF(F3-$L$8&lt;=0.01, 3, IF(F3-$L$8&lt;=0.04, 2, 1))))</t>
    <phoneticPr fontId="1"/>
  </si>
  <si>
    <t>=IF(F4-$L$8&lt;=-0.04, 5, IF(F4-$L$8&lt;=-0.01, 4, IF(F4-$L$8&lt;=0.01, 3, IF(F4-$L$8&lt;=0.04, 2, 1))))</t>
    <phoneticPr fontId="1"/>
  </si>
  <si>
    <t>=IF(F5-$L$8&lt;=-0.04, 5, IF(F5-$L$8&lt;=-0.01, 4, IF(F5-$L$8&lt;=0.01, 3, IF(F5-$L$8&lt;=0.04, 2, 1))))</t>
    <phoneticPr fontId="1"/>
  </si>
  <si>
    <t>=IF(F6-$L$8&lt;=-0.04, 5, IF(F6-$L$8&lt;=-0.01, 4, IF(F6-$L$8&lt;=0.01, 3, IF(F6-$L$8&lt;=0.04, 2, 1))))</t>
    <phoneticPr fontId="1"/>
  </si>
  <si>
    <t>=IF(F7-$L$8&lt;=-0.04, 5, IF(F7-$L$8&lt;=-0.01, 4, IF(F7-$L$8&lt;=0.01, 3, IF(F7-$L$8&lt;=0.04, 2, 1))))</t>
    <phoneticPr fontId="1"/>
  </si>
  <si>
    <t>=H2 + J2 + K2 + L2</t>
    <phoneticPr fontId="1"/>
  </si>
  <si>
    <t>=H3 + J3 + K3 + L3</t>
    <phoneticPr fontId="1"/>
  </si>
  <si>
    <t>=H4 + J4 + K4 + L4</t>
    <phoneticPr fontId="1"/>
  </si>
  <si>
    <t>=H5 + J5 + K5 + L5</t>
    <phoneticPr fontId="1"/>
  </si>
  <si>
    <t>=H6 + J6 + K6 + L6</t>
    <phoneticPr fontId="1"/>
  </si>
  <si>
    <t>=H7 + J7 + K7 + L7</t>
    <phoneticPr fontId="1"/>
  </si>
  <si>
    <t>=I2 + L2</t>
    <phoneticPr fontId="1"/>
  </si>
  <si>
    <t>=I3 + L3</t>
    <phoneticPr fontId="1"/>
  </si>
  <si>
    <t>=I4 + L4</t>
    <phoneticPr fontId="1"/>
  </si>
  <si>
    <t>=I5 + L5</t>
    <phoneticPr fontId="1"/>
  </si>
  <si>
    <t>=I6 + L6</t>
    <phoneticPr fontId="1"/>
  </si>
  <si>
    <t>=I7 + L7</t>
    <phoneticPr fontId="1"/>
  </si>
  <si>
    <t>=M2 - INPUT!R2</t>
    <phoneticPr fontId="1"/>
  </si>
  <si>
    <t>=M3 - INPUT!R3</t>
    <phoneticPr fontId="1"/>
  </si>
  <si>
    <t>=M4 - INPUT!R4</t>
    <phoneticPr fontId="1"/>
  </si>
  <si>
    <t>=M5 - INPUT!R5</t>
    <phoneticPr fontId="1"/>
  </si>
  <si>
    <t>=M6 - INPUT!R6</t>
    <phoneticPr fontId="1"/>
  </si>
  <si>
    <t>=M7 - INPUT!R7</t>
    <phoneticPr fontId="1"/>
  </si>
  <si>
    <t>=M2 + N2 + O2</t>
    <phoneticPr fontId="1"/>
  </si>
  <si>
    <t>=M3 + N3 + O3</t>
    <phoneticPr fontId="1"/>
  </si>
  <si>
    <t>=M4 + N4 + O4</t>
    <phoneticPr fontId="1"/>
  </si>
  <si>
    <t>=M5 + N5 + O5</t>
    <phoneticPr fontId="1"/>
  </si>
  <si>
    <t>=M6 + N6 + O6</t>
    <phoneticPr fontId="1"/>
  </si>
  <si>
    <t>=M7 + N7 + O7</t>
    <phoneticPr fontId="1"/>
  </si>
  <si>
    <t>=IFS(
  AND(A2=1, S2="超伸び型"), 3,
  AND(A2=1, S2="バランス"), 1,
  AND(A2=4, S2="超伸び型"), 4,
  AND(A2&gt;=2, S2="超伸び型"), 3,
  S2="差し型", 2,
  S2="攻め型", 2,
  TRUE, 0
)</t>
    <phoneticPr fontId="1"/>
  </si>
  <si>
    <t>=IFS(
  AND(A3=1, S3="超伸び型"), 3,
  AND(A3=1, S3="バランス"), 1,
  AND(A3=4, S3="超伸び型"), 4,
  AND(A3&gt;=2, S3="超伸び型"), 3,
  S3="差し型", 2,
  S3="攻め型", 2,
  TRUE, 0
)</t>
    <phoneticPr fontId="1"/>
  </si>
  <si>
    <t>=IFS(
  AND(A4=1, S4="超伸び型"), 3,
  AND(A4=1, S4="バランス"), 1,
  AND(A4=4, S4="超伸び型"), 4,
  AND(A4&gt;=2, S4="超伸び型"), 3,
  S4="差し型", 2,
  S4="攻め型", 2,
  TRUE, 0
)</t>
    <phoneticPr fontId="1"/>
  </si>
  <si>
    <t>=IFS(
  AND(A5=1, S5="超伸び型"), 3,
  AND(A5=1, S5="バランス"), 1,
  AND(A5=4, S5="超伸び型"), 4,
  AND(A5&gt;=2, S5="超伸び型"), 3,
  S5="差し型", 2,
  S5="攻め型", 2,
  TRUE, 0
)</t>
    <phoneticPr fontId="1"/>
  </si>
  <si>
    <t>=IFS(
  AND(A6=1, S6="超伸び型"), 3,
  AND(A6=1, S6="バランス"), 1,
  AND(A6=4, S6="超伸び型"), 4,
  AND(A6&gt;=2, S6="超伸び型"), 3,
  S6="差し型", 2,
  S6="攻め型", 2,
  TRUE, 0
)</t>
    <phoneticPr fontId="1"/>
  </si>
  <si>
    <t>=IFS(
  AND(A7=1, S7="超伸び型"), 3,
  AND(A7=1, S7="バランス"), 1,
  AND(A7=4, S7="超伸び型"), 4,
  AND(A7&gt;=2, S7="超伸び型"), 3,
  S7="差し型", 2,
  S7="攻め型", 2,
  TRUE, 0
)</t>
    <phoneticPr fontId="1"/>
  </si>
  <si>
    <t>=IFS(
  L2=5, "超伸び型",
  AND(N2 &gt;= O2 + 2, H2 &gt;= 4), "攻め型",
  AND(O2 &gt;= N2 + 2, K2 &gt;= 4), "差し型",
  H2=5, "伸び型",
  TRUE, "バランス"
)</t>
    <phoneticPr fontId="1"/>
  </si>
  <si>
    <t>=IFS(
  L3=5, "超伸び型",
  AND(N3 &gt;= O3 + 2, H3 &gt;= 4), "攻め型",
  AND(O3 &gt;= N3 + 2, K3 &gt;= 4), "差し型",
  H3=5, "伸び型",
  TRUE, "バランス"
)</t>
    <phoneticPr fontId="1"/>
  </si>
  <si>
    <t>=IFS(
  L4=5, "超伸び型",
  AND(N4 &gt;= O4 + 2, H4 &gt;= 4), "攻め型",
  AND(O4 &gt;= N4 + 2, K4 &gt;= 4), "差し型",
  H4=5, "伸び型",
  TRUE, "バランス"
)</t>
    <phoneticPr fontId="1"/>
  </si>
  <si>
    <t>=IFS(
  L5=5, "超伸び型",
  AND(N5 &gt;= O5 + 2, H5 &gt;= 4), "攻め型",
  AND(O5 &gt;= N5 + 2, K5 &gt;= 4), "差し型",
  H5=5, "伸び型",
  TRUE, "バランス"
)</t>
    <phoneticPr fontId="1"/>
  </si>
  <si>
    <t>=IFS(
  L6=5, "超伸び型",
  AND(N6 &gt;= O6 + 2, H6 &gt;= 4), "攻め型",
  AND(O6 &gt;= N6 + 2, K6 &gt;= 4), "差し型",
  H6=5, "伸び型",
  TRUE, "バランス"
)</t>
    <phoneticPr fontId="1"/>
  </si>
  <si>
    <t>=IFS(
  L7=5, "超伸び型",
  AND(N7 &gt;= O7 + 2, H7 &gt;= 4), "攻め型",
  AND(O7 &gt;= N7 + 2, K7 &gt;= 4), "差し型",
  H7=5, "伸び型",
  TRUE, "バランス"
)</t>
    <phoneticPr fontId="1"/>
  </si>
  <si>
    <t>=IF(OR(S2="超伸び型", S2="攻め型"), IF(L2 = MAXIFS($L$2:$L$7, $S$2:$S$7, S2), 1, 0), 0)</t>
    <phoneticPr fontId="1"/>
  </si>
  <si>
    <t>=IF(OR(S3="超伸び型", S3="攻め型"), IF(L3 = MAXIFS($L$2:$L$7, $S$2:$S$7, S3), 1, 0), 0)</t>
    <phoneticPr fontId="1"/>
  </si>
  <si>
    <t>=IF(OR(S4="超伸び型", S4="攻め型"), IF(L4 = MAXIFS($L$2:$L$7, $S$2:$S$7, S4), 1, 0), 0)</t>
    <phoneticPr fontId="1"/>
  </si>
  <si>
    <t>=IF(OR(S5="超伸び型", S5="攻め型"), IF(L5 = MAXIFS($L$2:$L$7, $S$2:$S$7, S5), 1, 0), 0)</t>
    <phoneticPr fontId="1"/>
  </si>
  <si>
    <t>=IF(OR(S6="超伸び型", S6="攻め型"), IF(L6 = MAXIFS($L$2:$L$7, $S$2:$S$7, S6), 1, 0), 0)</t>
    <phoneticPr fontId="1"/>
  </si>
  <si>
    <t>=IF(OR(S7="超伸び型", S7="攻め型"), IF(L7 = MAXIFS($L$2:$L$7, $S$2:$S$7, S7), 1, 0), 0)</t>
    <phoneticPr fontId="1"/>
  </si>
  <si>
    <t>=IF(
 COUNTIF($T$2:$T$7,1)&gt;0,
   IF(
     OR(
       A2 = INDEX($A$2:$A$7, MATCH(1,$T$2:$T$7,0)) - 1,
       A2 = INDEX($A$2:$A$7, MATCH(1,$T$2:$T$7,0)) + 1
     ),
     1,
     0
   ),
   IF(
     OR(
       A2 = INDEX($A$2:$A$7, MATCH(MAX($N$2:$N$7),$N$2:$N$7,0)) - 1,
       A2 = INDEX($A$2:$A$7, MATCH(MAX($N$2:$N$7),$N$2:$N$7,0)) + 1
     ),
     1,
     0
   )
)</t>
    <phoneticPr fontId="1"/>
  </si>
  <si>
    <t>=IF(
 COUNTIF($T$2:$T$7,1)&gt;0,
   IF(
     OR(
       A3 = INDEX($A$2:$A$7, MATCH(1,$T$2:$T$7,0)) - 1,
       A3 = INDEX($A$2:$A$7, MATCH(1,$T$2:$T$7,0)) + 1
     ),
     1,
     0
   ),
   IF(
     OR(
       A3 = INDEX($A$2:$A$7, MATCH(MAX($N$2:$N$7),$N$2:$N$7,0)) - 1,
       A3 = INDEX($A$2:$A$7, MATCH(MAX($N$2:$N$7),$N$2:$N$7,0)) + 1
     ),
     1,
     0
   )
)</t>
    <phoneticPr fontId="1"/>
  </si>
  <si>
    <t>=IF(
 COUNTIF($T$2:$T$7,1)&gt;0,
   IF(
     OR(
       A4 = INDEX($A$2:$A$7, MATCH(1,$T$2:$T$7,0)) - 1,
       A4 = INDEX($A$2:$A$7, MATCH(1,$T$2:$T$7,0)) + 1
     ),
     1,
     0
   ),
   IF(
     OR(
       A4 = INDEX($A$2:$A$7, MATCH(MAX($N$2:$N$7),$N$2:$N$7,0)) - 1,
       A4 = INDEX($A$2:$A$7, MATCH(MAX($N$2:$N$7),$N$2:$N$7,0)) + 1
     ),
     1,
     0
   )
)</t>
    <phoneticPr fontId="1"/>
  </si>
  <si>
    <t>=IF(
 COUNTIF($T$2:$T$7,1)&gt;0,
   IF(
     OR(
       A5 = INDEX($A$2:$A$7, MATCH(1,$T$2:$T$7,0)) - 1,
       A5 = INDEX($A$2:$A$7, MATCH(1,$T$2:$T$7,0)) + 1
     ),
     1,
     0
   ),
   IF(
     OR(
       A5 = INDEX($A$2:$A$7, MATCH(MAX($N$2:$N$7),$N$2:$N$7,0)) - 1,
       A5 = INDEX($A$2:$A$7, MATCH(MAX($N$2:$N$7),$N$2:$N$7,0)) + 1
     ),
     1,
     0
   )
)</t>
    <phoneticPr fontId="1"/>
  </si>
  <si>
    <t>=IF(
 COUNTIF($T$2:$T$7,1)&gt;0,
   IF(
     OR(
       A6 = INDEX($A$2:$A$7, MATCH(1,$T$2:$T$7,0)) - 1,
       A6 = INDEX($A$2:$A$7, MATCH(1,$T$2:$T$7,0)) + 1
     ),
     1,
     0
   ),
   IF(
     OR(
       A6 = INDEX($A$2:$A$7, MATCH(MAX($N$2:$N$7),$N$2:$N$7,0)) - 1,
       A6 = INDEX($A$2:$A$7, MATCH(MAX($N$2:$N$7),$N$2:$N$7,0)) + 1
     ),
     1,
     0
   )
)</t>
    <phoneticPr fontId="1"/>
  </si>
  <si>
    <t>=IF(
 COUNTIF($T$2:$T$7,1)&gt;0,
   IF(
     OR(
       A7 = INDEX($A$2:$A$7, MATCH(1,$T$2:$T$7,0)) - 1,
       A7 = INDEX($A$2:$A$7, MATCH(1,$T$2:$T$7,0)) + 1
     ),
     1,
     0
   ),
   IF(
     OR(
       A7 = INDEX($A$2:$A$7, MATCH(MAX($N$2:$N$7),$N$2:$N$7,0)) - 1,
       A7 = INDEX($A$2:$A$7, MATCH(MAX($N$2:$N$7),$N$2:$N$7,0)) + 1
     ),
     1,
     0
   )
)</t>
    <phoneticPr fontId="1"/>
  </si>
  <si>
    <t>=Q2 + R2 + U2</t>
    <phoneticPr fontId="1"/>
  </si>
  <si>
    <t>=Q3 + R3 + U3</t>
    <phoneticPr fontId="1"/>
  </si>
  <si>
    <t>=Q4 + R4 + U4</t>
    <phoneticPr fontId="1"/>
  </si>
  <si>
    <t>=Q5 + R5 + U5</t>
    <phoneticPr fontId="1"/>
  </si>
  <si>
    <t>=Q6 + R6 + U6</t>
    <phoneticPr fontId="1"/>
  </si>
  <si>
    <t>=Q7 + R7 + U7</t>
    <phoneticPr fontId="1"/>
  </si>
  <si>
    <t>ST評価(1〜5)</t>
    <phoneticPr fontId="1"/>
  </si>
  <si>
    <t>直近6ヶ月3連対率</t>
  </si>
  <si>
    <t>直近3ヶ月3連対率</t>
  </si>
  <si>
    <t>展示総合スコア（R）</t>
  </si>
  <si>
    <t>最終二次予想スコア（W）</t>
  </si>
  <si>
    <t>まくり率（6ヶ月）</t>
  </si>
  <si>
    <t>三次予想スコア</t>
  </si>
  <si>
    <t>切る艇</t>
  </si>
  <si>
    <t>項目</t>
    <rPh sb="0" eb="2">
      <t>コウモク</t>
    </rPh>
    <phoneticPr fontId="1"/>
  </si>
  <si>
    <t>旧Excel列</t>
    <rPh sb="0" eb="1">
      <t>キュウ</t>
    </rPh>
    <rPh sb="6" eb="7">
      <t>レツ</t>
    </rPh>
    <phoneticPr fontId="1"/>
  </si>
  <si>
    <t>AA2～7</t>
    <phoneticPr fontId="1"/>
  </si>
  <si>
    <t>備考</t>
    <rPh sb="0" eb="2">
      <t>ビコウ</t>
    </rPh>
    <phoneticPr fontId="1"/>
  </si>
  <si>
    <t>艇番を設定</t>
    <rPh sb="0" eb="1">
      <t>テイ</t>
    </rPh>
    <rPh sb="1" eb="2">
      <t>バン</t>
    </rPh>
    <rPh sb="3" eb="5">
      <t>セッテイ</t>
    </rPh>
    <phoneticPr fontId="1"/>
  </si>
  <si>
    <t>新規Excel列</t>
    <rPh sb="0" eb="2">
      <t>シンキ</t>
    </rPh>
    <rPh sb="7" eb="8">
      <t>レツ</t>
    </rPh>
    <phoneticPr fontId="1"/>
  </si>
  <si>
    <t>新規Excelでは展示進入コースを使用したい</t>
    <rPh sb="0" eb="2">
      <t>シンキ</t>
    </rPh>
    <rPh sb="9" eb="11">
      <t>テンジ</t>
    </rPh>
    <rPh sb="11" eb="13">
      <t>シンニュウ</t>
    </rPh>
    <rPh sb="17" eb="19">
      <t>シヨウ</t>
    </rPh>
    <phoneticPr fontId="1"/>
  </si>
  <si>
    <t>新規Excelでは手入力ではなく、SQLで取得したい</t>
    <rPh sb="0" eb="2">
      <t>シンキ</t>
    </rPh>
    <rPh sb="9" eb="12">
      <t>テニュウリョク</t>
    </rPh>
    <rPh sb="21" eb="23">
      <t>シュトク</t>
    </rPh>
    <phoneticPr fontId="1"/>
  </si>
  <si>
    <t>新規ExcelではS38～43を使用</t>
    <rPh sb="0" eb="2">
      <t>シンキ</t>
    </rPh>
    <rPh sb="16" eb="18">
      <t>シヨウ</t>
    </rPh>
    <phoneticPr fontId="1"/>
  </si>
  <si>
    <t>新規ExcelではU38～43を使用</t>
    <rPh sb="0" eb="2">
      <t>シンキ</t>
    </rPh>
    <rPh sb="16" eb="18">
      <t>シヨウ</t>
    </rPh>
    <phoneticPr fontId="1"/>
  </si>
  <si>
    <t>新規ExcelではT38～43を使用</t>
    <rPh sb="0" eb="2">
      <t>シンキ</t>
    </rPh>
    <rPh sb="16" eb="18">
      <t>シヨウ</t>
    </rPh>
    <phoneticPr fontId="1"/>
  </si>
  <si>
    <t>新規ExcelではV38～43を使用</t>
    <rPh sb="0" eb="2">
      <t>シンキ</t>
    </rPh>
    <rPh sb="16" eb="18">
      <t>シヨウ</t>
    </rPh>
    <phoneticPr fontId="1"/>
  </si>
  <si>
    <t>新規ExcelではW38～43を使用</t>
    <rPh sb="0" eb="2">
      <t>シンキ</t>
    </rPh>
    <rPh sb="16" eb="18">
      <t>シヨウ</t>
    </rPh>
    <phoneticPr fontId="1"/>
  </si>
  <si>
    <t>新規ExcelではX38～43を使用</t>
    <rPh sb="0" eb="2">
      <t>シンキ</t>
    </rPh>
    <rPh sb="16" eb="18">
      <t>シヨウ</t>
    </rPh>
    <phoneticPr fontId="1"/>
  </si>
  <si>
    <t>新規ExcelではB19～K31を使用</t>
    <rPh sb="0" eb="2">
      <t>シンキ</t>
    </rPh>
    <rPh sb="17" eb="19">
      <t>シヨウ</t>
    </rPh>
    <phoneticPr fontId="1"/>
  </si>
  <si>
    <t>新規ExcelではAPI化したい</t>
    <rPh sb="0" eb="2">
      <t>シンキ</t>
    </rPh>
    <rPh sb="12" eb="13">
      <t>カ</t>
    </rPh>
    <phoneticPr fontId="1"/>
  </si>
  <si>
    <t>枠番:C50～55</t>
  </si>
  <si>
    <t>直近6ヶ月3連対率:D50～55</t>
  </si>
  <si>
    <t>直近3ヶ月3連対率:E50～55</t>
  </si>
  <si>
    <t>期待値:F50～55</t>
  </si>
  <si>
    <t>展開フラグ_差し:G50～55</t>
  </si>
  <si>
    <t>展開フラグ_まくり:H50～55</t>
  </si>
  <si>
    <t>展開フラグ_まくり差し:I50～55</t>
  </si>
  <si>
    <t>展開フラグ_逃し:J50～55</t>
  </si>
  <si>
    <t>決まり手タイプ:K50～55</t>
  </si>
  <si>
    <t>決まり手補正:L50～55</t>
  </si>
  <si>
    <t>三次予想スコア:M50～55</t>
  </si>
  <si>
    <t>切る艇:N50～55</t>
  </si>
  <si>
    <t>艇番:B50～55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</si>
</sst>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1"/>
      <color rgb="FF000000"/>
      <name val="Yu Gothic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rgb="FF80808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Alignment="1">
      <alignment wrapText="1"/>
    </xf>
    <xf numFmtId="0" fontId="2" fillId="0" borderId="9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1" xfId="0" applyFont="1" applyBorder="1" applyAlignment="1">
      <alignment wrapText="1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3" fillId="2" borderId="20" xfId="0" applyNumberFormat="1" applyFont="1" applyFill="1" applyBorder="1" applyAlignment="1">
      <alignment horizontal="left" vertical="center" wrapText="1"/>
    </xf>
    <xf numFmtId="49" fontId="0" fillId="0" borderId="20" xfId="0" applyNumberFormat="1" applyBorder="1" applyAlignment="1">
      <alignment vertical="center"/>
    </xf>
    <xf numFmtId="0" fontId="0" fillId="0" borderId="20" xfId="0" applyBorder="1" applyAlignment="1">
      <alignment horizontal="right" vertical="center"/>
    </xf>
    <xf numFmtId="0" fontId="2" fillId="0" borderId="1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/>
    <xf numFmtId="0" fontId="2" fillId="0" borderId="23" xfId="0" applyFont="1" applyBorder="1" applyAlignment="1">
      <alignment wrapText="1"/>
    </xf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10" fontId="2" fillId="0" borderId="27" xfId="0" applyNumberFormat="1" applyFont="1" applyBorder="1"/>
    <xf numFmtId="0" fontId="2" fillId="0" borderId="28" xfId="0" applyFont="1" applyBorder="1"/>
    <xf numFmtId="0" fontId="2" fillId="0" borderId="29" xfId="0" applyFont="1" applyBorder="1"/>
    <xf numFmtId="10" fontId="2" fillId="0" borderId="29" xfId="0" applyNumberFormat="1" applyFont="1" applyBorder="1"/>
    <xf numFmtId="0" fontId="2" fillId="3" borderId="30" xfId="0" applyFont="1" applyFill="1" applyBorder="1"/>
    <xf numFmtId="0" fontId="2" fillId="3" borderId="31" xfId="0" applyFont="1" applyFill="1" applyBorder="1"/>
    <xf numFmtId="10" fontId="2" fillId="3" borderId="31" xfId="0" applyNumberFormat="1" applyFont="1" applyFill="1" applyBorder="1"/>
    <xf numFmtId="0" fontId="2" fillId="3" borderId="28" xfId="0" applyFont="1" applyFill="1" applyBorder="1"/>
    <xf numFmtId="0" fontId="2" fillId="3" borderId="29" xfId="0" applyFont="1" applyFill="1" applyBorder="1"/>
    <xf numFmtId="10" fontId="2" fillId="3" borderId="29" xfId="0" applyNumberFormat="1" applyFont="1" applyFill="1" applyBorder="1"/>
    <xf numFmtId="0" fontId="2" fillId="4" borderId="30" xfId="0" applyFont="1" applyFill="1" applyBorder="1"/>
    <xf numFmtId="0" fontId="2" fillId="4" borderId="31" xfId="0" applyFont="1" applyFill="1" applyBorder="1"/>
    <xf numFmtId="10" fontId="2" fillId="4" borderId="31" xfId="0" applyNumberFormat="1" applyFont="1" applyFill="1" applyBorder="1"/>
    <xf numFmtId="0" fontId="2" fillId="4" borderId="28" xfId="0" applyFont="1" applyFill="1" applyBorder="1"/>
    <xf numFmtId="0" fontId="2" fillId="4" borderId="29" xfId="0" applyFont="1" applyFill="1" applyBorder="1"/>
    <xf numFmtId="10" fontId="2" fillId="4" borderId="29" xfId="0" applyNumberFormat="1" applyFont="1" applyFill="1" applyBorder="1"/>
    <xf numFmtId="0" fontId="2" fillId="5" borderId="30" xfId="0" applyFont="1" applyFill="1" applyBorder="1"/>
    <xf numFmtId="0" fontId="2" fillId="5" borderId="31" xfId="0" applyFont="1" applyFill="1" applyBorder="1"/>
    <xf numFmtId="10" fontId="2" fillId="5" borderId="31" xfId="0" applyNumberFormat="1" applyFont="1" applyFill="1" applyBorder="1"/>
    <xf numFmtId="0" fontId="2" fillId="5" borderId="28" xfId="0" applyFont="1" applyFill="1" applyBorder="1"/>
    <xf numFmtId="0" fontId="2" fillId="5" borderId="29" xfId="0" applyFont="1" applyFill="1" applyBorder="1"/>
    <xf numFmtId="10" fontId="2" fillId="5" borderId="29" xfId="0" applyNumberFormat="1" applyFont="1" applyFill="1" applyBorder="1"/>
    <xf numFmtId="0" fontId="2" fillId="6" borderId="30" xfId="0" applyFont="1" applyFill="1" applyBorder="1"/>
    <xf numFmtId="0" fontId="2" fillId="6" borderId="31" xfId="0" applyFont="1" applyFill="1" applyBorder="1"/>
    <xf numFmtId="10" fontId="2" fillId="6" borderId="31" xfId="0" applyNumberFormat="1" applyFont="1" applyFill="1" applyBorder="1"/>
    <xf numFmtId="0" fontId="2" fillId="6" borderId="28" xfId="0" applyFont="1" applyFill="1" applyBorder="1"/>
    <xf numFmtId="0" fontId="2" fillId="6" borderId="29" xfId="0" applyFont="1" applyFill="1" applyBorder="1"/>
    <xf numFmtId="10" fontId="2" fillId="6" borderId="29" xfId="0" applyNumberFormat="1" applyFont="1" applyFill="1" applyBorder="1"/>
    <xf numFmtId="0" fontId="2" fillId="7" borderId="30" xfId="0" applyFont="1" applyFill="1" applyBorder="1"/>
    <xf numFmtId="0" fontId="2" fillId="7" borderId="31" xfId="0" applyFont="1" applyFill="1" applyBorder="1"/>
    <xf numFmtId="10" fontId="2" fillId="7" borderId="31" xfId="0" applyNumberFormat="1" applyFont="1" applyFill="1" applyBorder="1"/>
    <xf numFmtId="0" fontId="2" fillId="7" borderId="32" xfId="0" applyFont="1" applyFill="1" applyBorder="1"/>
    <xf numFmtId="0" fontId="2" fillId="7" borderId="33" xfId="0" applyFont="1" applyFill="1" applyBorder="1"/>
    <xf numFmtId="10" fontId="2" fillId="7" borderId="33" xfId="0" applyNumberFormat="1" applyFont="1" applyFill="1" applyBorder="1"/>
    <xf numFmtId="10" fontId="2" fillId="0" borderId="0" xfId="0" applyNumberFormat="1" applyFont="1"/>
    <xf numFmtId="10" fontId="2" fillId="0" borderId="4" xfId="0" applyNumberFormat="1" applyFont="1" applyBorder="1"/>
    <xf numFmtId="10" fontId="2" fillId="0" borderId="9" xfId="0" applyNumberFormat="1" applyFont="1" applyBorder="1"/>
    <xf numFmtId="10" fontId="2" fillId="0" borderId="22" xfId="0" applyNumberFormat="1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10" fontId="2" fillId="0" borderId="39" xfId="0" applyNumberFormat="1" applyFont="1" applyBorder="1"/>
    <xf numFmtId="10" fontId="2" fillId="0" borderId="40" xfId="0" applyNumberFormat="1" applyFont="1" applyBorder="1"/>
    <xf numFmtId="10" fontId="2" fillId="3" borderId="41" xfId="0" applyNumberFormat="1" applyFont="1" applyFill="1" applyBorder="1"/>
    <xf numFmtId="10" fontId="2" fillId="3" borderId="40" xfId="0" applyNumberFormat="1" applyFont="1" applyFill="1" applyBorder="1"/>
    <xf numFmtId="10" fontId="2" fillId="4" borderId="41" xfId="0" applyNumberFormat="1" applyFont="1" applyFill="1" applyBorder="1"/>
    <xf numFmtId="10" fontId="2" fillId="4" borderId="40" xfId="0" applyNumberFormat="1" applyFont="1" applyFill="1" applyBorder="1"/>
    <xf numFmtId="10" fontId="2" fillId="5" borderId="41" xfId="0" applyNumberFormat="1" applyFont="1" applyFill="1" applyBorder="1"/>
    <xf numFmtId="10" fontId="2" fillId="5" borderId="40" xfId="0" applyNumberFormat="1" applyFont="1" applyFill="1" applyBorder="1"/>
    <xf numFmtId="10" fontId="2" fillId="6" borderId="41" xfId="0" applyNumberFormat="1" applyFont="1" applyFill="1" applyBorder="1"/>
    <xf numFmtId="10" fontId="2" fillId="6" borderId="40" xfId="0" applyNumberFormat="1" applyFont="1" applyFill="1" applyBorder="1"/>
    <xf numFmtId="10" fontId="2" fillId="7" borderId="41" xfId="0" applyNumberFormat="1" applyFont="1" applyFill="1" applyBorder="1"/>
    <xf numFmtId="10" fontId="2" fillId="7" borderId="42" xfId="0" applyNumberFormat="1" applyFont="1" applyFill="1" applyBorder="1"/>
    <xf numFmtId="0" fontId="2" fillId="0" borderId="10" xfId="0" applyFont="1" applyBorder="1"/>
    <xf numFmtId="0" fontId="2" fillId="0" borderId="21" xfId="0" applyFont="1" applyBorder="1"/>
    <xf numFmtId="0" fontId="2" fillId="0" borderId="11" xfId="0" applyFont="1" applyBorder="1"/>
    <xf numFmtId="0" fontId="2" fillId="0" borderId="9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49" fontId="5" fillId="2" borderId="20" xfId="0" applyNumberFormat="1" applyFont="1" applyFill="1" applyBorder="1" applyAlignment="1">
      <alignment horizontal="left" vertical="center" wrapText="1"/>
    </xf>
    <xf numFmtId="49" fontId="2" fillId="0" borderId="20" xfId="0" applyNumberFormat="1" applyFont="1" applyBorder="1" applyAlignment="1">
      <alignment vertical="center"/>
    </xf>
    <xf numFmtId="49" fontId="2" fillId="0" borderId="43" xfId="0" applyNumberFormat="1" applyFont="1" applyBorder="1" applyAlignment="1">
      <alignment vertical="center"/>
    </xf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2" fillId="8" borderId="15" xfId="0" applyFont="1" applyFill="1" applyBorder="1"/>
    <xf numFmtId="49" fontId="5" fillId="2" borderId="43" xfId="0" applyNumberFormat="1" applyFont="1" applyFill="1" applyBorder="1" applyAlignment="1">
      <alignment horizontal="left" vertical="center" wrapText="1"/>
    </xf>
    <xf numFmtId="0" fontId="2" fillId="8" borderId="24" xfId="0" applyFont="1" applyFill="1" applyBorder="1"/>
    <xf numFmtId="0" fontId="2" fillId="0" borderId="0" xfId="0" applyFont="1" applyAlignment="1">
      <alignment vertical="center"/>
    </xf>
    <xf numFmtId="49" fontId="2" fillId="0" borderId="9" xfId="0" applyNumberFormat="1" applyFont="1" applyBorder="1"/>
    <xf numFmtId="49" fontId="2" fillId="0" borderId="22" xfId="0" applyNumberFormat="1" applyFont="1" applyBorder="1"/>
    <xf numFmtId="49" fontId="2" fillId="0" borderId="9" xfId="0" applyNumberFormat="1" applyFont="1" applyBorder="1" applyAlignment="1">
      <alignment wrapText="1"/>
    </xf>
    <xf numFmtId="49" fontId="2" fillId="0" borderId="22" xfId="0" applyNumberFormat="1" applyFont="1" applyBorder="1" applyAlignment="1">
      <alignment wrapText="1"/>
    </xf>
    <xf numFmtId="49" fontId="2" fillId="0" borderId="13" xfId="0" applyNumberFormat="1" applyFont="1" applyBorder="1" applyAlignment="1">
      <alignment wrapText="1"/>
    </xf>
    <xf numFmtId="49" fontId="2" fillId="0" borderId="15" xfId="0" applyNumberFormat="1" applyFont="1" applyBorder="1" applyAlignment="1">
      <alignment wrapText="1"/>
    </xf>
    <xf numFmtId="49" fontId="2" fillId="0" borderId="13" xfId="0" applyNumberFormat="1" applyFont="1" applyBorder="1"/>
    <xf numFmtId="49" fontId="2" fillId="0" borderId="15" xfId="0" applyNumberFormat="1" applyFont="1" applyBorder="1"/>
    <xf numFmtId="49" fontId="2" fillId="0" borderId="24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wrapText="1"/>
    </xf>
    <xf numFmtId="0" fontId="2" fillId="0" borderId="1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8"/>
  <sheetViews>
    <sheetView topLeftCell="F1" workbookViewId="0">
      <selection activeCell="R1" sqref="R1"/>
    </sheetView>
  </sheetViews>
  <sheetFormatPr defaultRowHeight="13.5"/>
  <cols>
    <col min="1" max="1" width="9" style="1"/>
    <col min="2" max="2" width="13.25" style="1" customWidth="1"/>
    <col min="3" max="7" width="9" style="1"/>
    <col min="8" max="8" width="6.5" style="1" customWidth="1"/>
    <col min="9" max="9" width="10.5" style="1" bestFit="1" customWidth="1"/>
    <col min="10" max="16384" width="9" style="1"/>
  </cols>
  <sheetData>
    <row r="1" spans="1:25" s="10" customFormat="1" ht="40.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16" t="s">
        <v>23</v>
      </c>
    </row>
    <row r="2" spans="1:25">
      <c r="A2" s="12">
        <v>1</v>
      </c>
      <c r="B2" s="11" t="str">
        <f>TRIM(C24)</f>
        <v>屋良　龍紀</v>
      </c>
      <c r="C2" s="11">
        <f>E23</f>
        <v>3.78</v>
      </c>
      <c r="D2" s="11">
        <f>F23</f>
        <v>4.0199999999999996</v>
      </c>
      <c r="E2" s="11">
        <f>G24</f>
        <v>46.32</v>
      </c>
      <c r="F2" s="11">
        <f>H24</f>
        <v>39.42</v>
      </c>
      <c r="G2" s="11">
        <f>D25</f>
        <v>0.15</v>
      </c>
      <c r="H2" s="11">
        <f>STDEV(I25:T25)</f>
        <v>4.041451884327385E-2</v>
      </c>
      <c r="I2" s="11" t="str">
        <f>D23</f>
        <v>F0</v>
      </c>
      <c r="J2" s="11" t="str">
        <f>RIGHT(C23,2)</f>
        <v>B1</v>
      </c>
      <c r="K2" s="11" t="str">
        <f>LEFT(C25,3)</f>
        <v>長崎/</v>
      </c>
      <c r="L2" s="11">
        <f>MIN(10, MAX(1, C2 * 1.2))</f>
        <v>4.5359999999999996</v>
      </c>
      <c r="M2" s="11">
        <f>MIN(5, MAX(1, (D2 - 4) * 2))</f>
        <v>1</v>
      </c>
      <c r="N2" s="11">
        <f>MIN(5, MAX(1, (E2 - 25) / 4))</f>
        <v>5</v>
      </c>
      <c r="O2" s="11">
        <f>MIN(5, MAX(1, (F2 - 25) / 4))</f>
        <v>3.6050000000000004</v>
      </c>
      <c r="P2" s="11">
        <f>MIN(5, MAX(1, 8 - (G2 * 30)))</f>
        <v>3.5</v>
      </c>
      <c r="Q2" s="11">
        <f>L2 + M2</f>
        <v>5.5359999999999996</v>
      </c>
      <c r="R2" s="11">
        <f>N2 + O2</f>
        <v>8.6050000000000004</v>
      </c>
      <c r="S2" s="11">
        <f>P2</f>
        <v>3.5</v>
      </c>
      <c r="T2" s="11">
        <f>IF(I2="F1",-5,IF(I2="F2",-10,IF(I2="F3",-15,0)))</f>
        <v>0</v>
      </c>
      <c r="U2" s="11">
        <f>IF(H2 &gt; 0.05, -5, 0)</f>
        <v>0</v>
      </c>
      <c r="V2" s="11">
        <f>Q2 + R2 + S2+T2+U2</f>
        <v>17.640999999999998</v>
      </c>
      <c r="W2" s="11" cm="1">
        <f t="array" ref="W2">_xlfn.IFS(
    A2=1, IF(V2&gt;=22,4, IF(V2&gt;=18,5, 6)),
    A2=6, IF(V2&gt;=22,11, IF(V2&gt;=18,12, 13)),
    V2&gt;=22, IF(L2&gt;=8,1,2),
    V2&gt;=20, 3,
    AND(L2&lt;=3, R2&gt;=7), 14,
    AND(L2&gt;=7, R2&lt;=5), 15,
    P2=5, 17,
    V2&gt;=18, 8,
    V2&gt;=15, 9,
    TRUE, 10
)</f>
        <v>6</v>
      </c>
      <c r="X2" s="13" t="str" cm="1">
        <f t="array" ref="X2">_xlfn.IFS(
 W2=1,"◎",
 W2=2,"○",
 W2=3,"○",
 W2=4,"◎",
 W2=5,"○",
 W2=6,"×",
 W2=7,"△",
 W2=8,"○",
 W2=9,"△",
 W2=10,"×",
 W2=11,"△",
 W2=12,"△",
 W2=13,"×",
 W2=14,"△",
 W2=15,"△",
 W2=16,"△",
 W2=17,"○",
 W2=18,"△"
)</f>
        <v>×</v>
      </c>
    </row>
    <row r="3" spans="1:25">
      <c r="A3" s="12">
        <v>2</v>
      </c>
      <c r="B3" s="11" t="str">
        <f>TRIM(C28)</f>
        <v>大塚　康雅</v>
      </c>
      <c r="C3" s="11">
        <f>E27</f>
        <v>4.87</v>
      </c>
      <c r="D3" s="11">
        <f>F27</f>
        <v>5.23</v>
      </c>
      <c r="E3" s="11">
        <f>G28</f>
        <v>33.33</v>
      </c>
      <c r="F3" s="11">
        <f>H28</f>
        <v>27.86</v>
      </c>
      <c r="G3" s="11">
        <f>D29</f>
        <v>0.18</v>
      </c>
      <c r="H3" s="11">
        <f>STDEV(I29:T29)</f>
        <v>7.7674534651540214E-2</v>
      </c>
      <c r="I3" s="11" t="str">
        <f>D27</f>
        <v>F0</v>
      </c>
      <c r="J3" s="11" t="str">
        <f>RIGHT(C27,2)</f>
        <v>B1</v>
      </c>
      <c r="K3" s="11" t="str">
        <f>LEFT(C29,3)</f>
        <v>東京/</v>
      </c>
      <c r="L3" s="11">
        <f t="shared" ref="L3:L7" si="0">MIN(10, MAX(1, C3 * 1.2))</f>
        <v>5.8440000000000003</v>
      </c>
      <c r="M3" s="11">
        <f t="shared" ref="M3:M7" si="1">MIN(5, MAX(1, (D3 - 4) * 2))</f>
        <v>2.4600000000000009</v>
      </c>
      <c r="N3" s="11">
        <f t="shared" ref="N3:N7" si="2">MIN(5, MAX(1, (E3 - 25) / 4))</f>
        <v>2.0824999999999996</v>
      </c>
      <c r="O3" s="11">
        <f t="shared" ref="O3:O7" si="3">MIN(5, MAX(1, (F3 - 25) / 4))</f>
        <v>1</v>
      </c>
      <c r="P3" s="11">
        <f t="shared" ref="P3:P7" si="4">MIN(5, MAX(1, 8 - (G3 * 30)))</f>
        <v>2.6000000000000005</v>
      </c>
      <c r="Q3" s="11">
        <f t="shared" ref="Q3:Q7" si="5">L3 + M3</f>
        <v>8.304000000000002</v>
      </c>
      <c r="R3" s="11">
        <f t="shared" ref="R3:R7" si="6">N3 + O3</f>
        <v>3.0824999999999996</v>
      </c>
      <c r="S3" s="11">
        <f t="shared" ref="S3:S7" si="7">P3</f>
        <v>2.6000000000000005</v>
      </c>
      <c r="T3" s="11">
        <f t="shared" ref="T3:T7" si="8">IF(I3="F1",-5,IF(I3="F2",-10,IF(I3="F3",-15,0)))</f>
        <v>0</v>
      </c>
      <c r="U3" s="11">
        <f t="shared" ref="U3:U7" si="9">IF(H3 &gt; 0.05, -5, 0)</f>
        <v>-5</v>
      </c>
      <c r="V3" s="11">
        <f t="shared" ref="V3:V7" si="10">Q3 + R3 + S3+T3+U3</f>
        <v>8.986500000000003</v>
      </c>
      <c r="W3" s="11" cm="1">
        <f t="array" ref="W3">_xlfn.IFS(
    A3=1, IF(V3&gt;=22,4, IF(V3&gt;=18,5, 6)),
    A3=6, IF(V3&gt;=22,11, IF(V3&gt;=18,12, 13)),
    V3&gt;=22, IF(L3&gt;=8,1,2),
    V3&gt;=20, 3,
    AND(L3&lt;=3, R3&gt;=7), 14,
    AND(L3&gt;=7, R3&lt;=5), 15,
    P3=5, 17,
    V3&gt;=18, 8,
    V3&gt;=15, 9,
    TRUE, 10
)</f>
        <v>10</v>
      </c>
      <c r="X3" s="13" t="str" cm="1">
        <f t="array" ref="X3">_xlfn.IFS(
 W3=1,"◎",
 W3=2,"○",
 W3=3,"○",
 W3=4,"◎",
 W3=5,"○",
 W3=6,"×",
 W3=7,"△",
 W3=8,"○",
 W3=9,"△",
 W3=10,"×",
 W3=11,"△",
 W3=12,"△",
 W3=13,"×",
 W3=14,"△",
 W3=15,"△",
 W3=16,"△",
 W3=17,"○",
 W3=18,"△"
)</f>
        <v>×</v>
      </c>
    </row>
    <row r="4" spans="1:25">
      <c r="A4" s="12">
        <v>3</v>
      </c>
      <c r="B4" s="11" t="str">
        <f>TRIM(C32)</f>
        <v>上田　隆章</v>
      </c>
      <c r="C4" s="11">
        <f>E31</f>
        <v>4.5599999999999996</v>
      </c>
      <c r="D4" s="11">
        <f>F31</f>
        <v>0</v>
      </c>
      <c r="E4" s="11">
        <f>G32</f>
        <v>27.89</v>
      </c>
      <c r="F4" s="11">
        <f>H32</f>
        <v>34.53</v>
      </c>
      <c r="G4" s="11">
        <f>D33</f>
        <v>0.23</v>
      </c>
      <c r="H4" s="11">
        <f>STDEV(I33:T33)</f>
        <v>2.3094010767585035E-2</v>
      </c>
      <c r="I4" s="11" t="str">
        <f>D31</f>
        <v>F0</v>
      </c>
      <c r="J4" s="11" t="str">
        <f>RIGHT(C31,2)</f>
        <v>B1</v>
      </c>
      <c r="K4" s="11" t="str">
        <f>LEFT(C33,3)</f>
        <v>香川/</v>
      </c>
      <c r="L4" s="11">
        <f t="shared" si="0"/>
        <v>5.4719999999999995</v>
      </c>
      <c r="M4" s="11">
        <f t="shared" si="1"/>
        <v>1</v>
      </c>
      <c r="N4" s="11">
        <f t="shared" si="2"/>
        <v>1</v>
      </c>
      <c r="O4" s="11">
        <f t="shared" si="3"/>
        <v>2.3825000000000003</v>
      </c>
      <c r="P4" s="11">
        <f>MIN(5, MAX(1, 8 - (G4 * 30)))</f>
        <v>1.0999999999999996</v>
      </c>
      <c r="Q4" s="11">
        <f t="shared" si="5"/>
        <v>6.4719999999999995</v>
      </c>
      <c r="R4" s="11">
        <f t="shared" si="6"/>
        <v>3.3825000000000003</v>
      </c>
      <c r="S4" s="11">
        <f t="shared" si="7"/>
        <v>1.0999999999999996</v>
      </c>
      <c r="T4" s="11">
        <f t="shared" si="8"/>
        <v>0</v>
      </c>
      <c r="U4" s="11">
        <f t="shared" si="9"/>
        <v>0</v>
      </c>
      <c r="V4" s="11">
        <f t="shared" si="10"/>
        <v>10.954499999999999</v>
      </c>
      <c r="W4" s="11" cm="1">
        <f t="array" ref="W4">_xlfn.IFS(
    A4=1, IF(V4&gt;=22,4, IF(V4&gt;=18,5, 6)),
    A4=6, IF(V4&gt;=22,11, IF(V4&gt;=18,12, 13)),
    V4&gt;=22, IF(L4&gt;=8,1,2),
    V4&gt;=20, 3,
    AND(L4&lt;=3, R4&gt;=7), 14,
    AND(L4&gt;=7, R4&lt;=5), 15,
    P4=5, 17,
    V4&gt;=18, 8,
    V4&gt;=15, 9,
    TRUE, 10
)</f>
        <v>10</v>
      </c>
      <c r="X4" s="13" t="str" cm="1">
        <f t="array" ref="X4">_xlfn.IFS(
 W4=1,"◎",
 W4=2,"○",
 W4=3,"○",
 W4=4,"◎",
 W4=5,"○",
 W4=6,"×",
 W4=7,"△",
 W4=8,"○",
 W4=9,"△",
 W4=10,"×",
 W4=11,"△",
 W4=12,"△",
 W4=13,"×",
 W4=14,"△",
 W4=15,"△",
 W4=16,"△",
 W4=17,"○",
 W4=18,"△"
)</f>
        <v>×</v>
      </c>
    </row>
    <row r="5" spans="1:25">
      <c r="A5" s="12">
        <v>4</v>
      </c>
      <c r="B5" s="11" t="str">
        <f>TRIM(C36)</f>
        <v>山田　和佐</v>
      </c>
      <c r="C5" s="11">
        <f>E35</f>
        <v>4.68</v>
      </c>
      <c r="D5" s="11">
        <f>F35</f>
        <v>4.38</v>
      </c>
      <c r="E5" s="11">
        <f>G36</f>
        <v>23.53</v>
      </c>
      <c r="F5" s="11">
        <f>H36</f>
        <v>32.86</v>
      </c>
      <c r="G5" s="11">
        <f>D37</f>
        <v>0.17</v>
      </c>
      <c r="H5" s="11">
        <f>STDEV(I37:T37)</f>
        <v>5.0000000000000162E-2</v>
      </c>
      <c r="I5" s="11" t="str">
        <f>D35</f>
        <v>F0</v>
      </c>
      <c r="J5" s="11" t="str">
        <f>RIGHT(C35,2)</f>
        <v>B1</v>
      </c>
      <c r="K5" s="11" t="str">
        <f>LEFT(C37,3)</f>
        <v>広島/</v>
      </c>
      <c r="L5" s="11">
        <f t="shared" si="0"/>
        <v>5.6159999999999997</v>
      </c>
      <c r="M5" s="11">
        <f t="shared" si="1"/>
        <v>1</v>
      </c>
      <c r="N5" s="11">
        <f t="shared" si="2"/>
        <v>1</v>
      </c>
      <c r="O5" s="11">
        <f t="shared" si="3"/>
        <v>1.9649999999999999</v>
      </c>
      <c r="P5" s="11">
        <f t="shared" si="4"/>
        <v>2.8999999999999995</v>
      </c>
      <c r="Q5" s="11">
        <f t="shared" si="5"/>
        <v>6.6159999999999997</v>
      </c>
      <c r="R5" s="11">
        <f t="shared" si="6"/>
        <v>2.9649999999999999</v>
      </c>
      <c r="S5" s="11">
        <f t="shared" si="7"/>
        <v>2.8999999999999995</v>
      </c>
      <c r="T5" s="11">
        <f t="shared" si="8"/>
        <v>0</v>
      </c>
      <c r="U5" s="11">
        <f t="shared" si="9"/>
        <v>-5</v>
      </c>
      <c r="V5" s="11">
        <f t="shared" si="10"/>
        <v>7.4809999999999981</v>
      </c>
      <c r="W5" s="11" cm="1">
        <f t="array" ref="W5">_xlfn.IFS(
    A5=1, IF(V5&gt;=22,4, IF(V5&gt;=18,5, 6)),
    A5=6, IF(V5&gt;=22,11, IF(V5&gt;=18,12, 13)),
    V5&gt;=22, IF(L5&gt;=8,1,2),
    V5&gt;=20, 3,
    AND(L5&lt;=3, R5&gt;=7), 14,
    AND(L5&gt;=7, R5&lt;=5), 15,
    P5=5, 17,
    V5&gt;=18, 8,
    V5&gt;=15, 9,
    TRUE, 10
)</f>
        <v>10</v>
      </c>
      <c r="X5" s="13" t="str" cm="1">
        <f t="array" ref="X5">_xlfn.IFS(
 W5=1,"◎",
 W5=2,"○",
 W5=3,"○",
 W5=4,"◎",
 W5=5,"○",
 W5=6,"×",
 W5=7,"△",
 W5=8,"○",
 W5=9,"△",
 W5=10,"×",
 W5=11,"△",
 W5=12,"△",
 W5=13,"×",
 W5=14,"△",
 W5=15,"△",
 W5=16,"△",
 W5=17,"○",
 W5=18,"△"
)</f>
        <v>×</v>
      </c>
    </row>
    <row r="6" spans="1:25">
      <c r="A6" s="12">
        <v>5</v>
      </c>
      <c r="B6" s="11" t="str">
        <f>TRIM(C40)</f>
        <v>増本　杏珠</v>
      </c>
      <c r="C6" s="11">
        <f>E39</f>
        <v>3.39</v>
      </c>
      <c r="D6" s="11">
        <f>F39</f>
        <v>2.94</v>
      </c>
      <c r="E6" s="11">
        <f>G40</f>
        <v>27.34</v>
      </c>
      <c r="F6" s="11">
        <f>H40</f>
        <v>39.69</v>
      </c>
      <c r="G6" s="11">
        <f>D41</f>
        <v>0.17</v>
      </c>
      <c r="H6" s="11">
        <f>STDEV(I41:T41)</f>
        <v>0</v>
      </c>
      <c r="I6" s="11" t="str">
        <f>D39</f>
        <v>F1</v>
      </c>
      <c r="J6" s="11" t="str">
        <f>RIGHT(C39,2)</f>
        <v>B1</v>
      </c>
      <c r="K6" s="11" t="str">
        <f>LEFT(C41,3)</f>
        <v>福岡/</v>
      </c>
      <c r="L6" s="11">
        <f t="shared" si="0"/>
        <v>4.0679999999999996</v>
      </c>
      <c r="M6" s="11">
        <f t="shared" si="1"/>
        <v>1</v>
      </c>
      <c r="N6" s="11">
        <f t="shared" si="2"/>
        <v>1</v>
      </c>
      <c r="O6" s="11">
        <f t="shared" si="3"/>
        <v>3.6724999999999994</v>
      </c>
      <c r="P6" s="11">
        <f t="shared" si="4"/>
        <v>2.8999999999999995</v>
      </c>
      <c r="Q6" s="11">
        <f t="shared" si="5"/>
        <v>5.0679999999999996</v>
      </c>
      <c r="R6" s="11">
        <f t="shared" si="6"/>
        <v>4.6724999999999994</v>
      </c>
      <c r="S6" s="11">
        <f t="shared" si="7"/>
        <v>2.8999999999999995</v>
      </c>
      <c r="T6" s="11">
        <f t="shared" si="8"/>
        <v>-5</v>
      </c>
      <c r="U6" s="11">
        <f t="shared" si="9"/>
        <v>0</v>
      </c>
      <c r="V6" s="11">
        <f t="shared" si="10"/>
        <v>7.6404999999999994</v>
      </c>
      <c r="W6" s="11" cm="1">
        <f t="array" ref="W6">_xlfn.IFS(
    A6=1, IF(V6&gt;=22,4, IF(V6&gt;=18,5, 6)),
    A6=6, IF(V6&gt;=22,11, IF(V6&gt;=18,12, 13)),
    V6&gt;=22, IF(L6&gt;=8,1,2),
    V6&gt;=20, 3,
    AND(L6&lt;=3, R6&gt;=7), 14,
    AND(L6&gt;=7, R6&lt;=5), 15,
    P6=5, 17,
    V6&gt;=18, 8,
    V6&gt;=15, 9,
    TRUE, 10
)</f>
        <v>10</v>
      </c>
      <c r="X6" s="13" t="str" cm="1">
        <f t="array" ref="X6">_xlfn.IFS(
 W6=1,"◎",
 W6=2,"○",
 W6=3,"○",
 W6=4,"◎",
 W6=5,"○",
 W6=6,"×",
 W6=7,"△",
 W6=8,"○",
 W6=9,"△",
 W6=10,"×",
 W6=11,"△",
 W6=12,"△",
 W6=13,"×",
 W6=14,"△",
 W6=15,"△",
 W6=16,"△",
 W6=17,"○",
 W6=18,"△"
)</f>
        <v>×</v>
      </c>
    </row>
    <row r="7" spans="1:25" ht="14.25" thickBot="1">
      <c r="A7" s="14">
        <v>6</v>
      </c>
      <c r="B7" s="26" t="str">
        <f>TRIM(C44)</f>
        <v>大西　隆洋</v>
      </c>
      <c r="C7" s="26">
        <f>E43</f>
        <v>3.46</v>
      </c>
      <c r="D7" s="26">
        <f>F43</f>
        <v>1.4</v>
      </c>
      <c r="E7" s="26">
        <f>G44</f>
        <v>27.46</v>
      </c>
      <c r="F7" s="26">
        <f>H44</f>
        <v>34.07</v>
      </c>
      <c r="G7" s="26">
        <f>D45</f>
        <v>0.16</v>
      </c>
      <c r="H7" s="26">
        <f>STDEV(I45:T45)</f>
        <v>2.5166114784235825E-2</v>
      </c>
      <c r="I7" s="26" t="str">
        <f>D43</f>
        <v>F0</v>
      </c>
      <c r="J7" s="26" t="str">
        <f>RIGHT(C43,2)</f>
        <v>B1</v>
      </c>
      <c r="K7" s="26" t="str">
        <f>LEFT(C45,3)</f>
        <v>香川/</v>
      </c>
      <c r="L7" s="26">
        <f t="shared" si="0"/>
        <v>4.1520000000000001</v>
      </c>
      <c r="M7" s="26">
        <f t="shared" si="1"/>
        <v>1</v>
      </c>
      <c r="N7" s="26">
        <f t="shared" si="2"/>
        <v>1</v>
      </c>
      <c r="O7" s="26">
        <f t="shared" si="3"/>
        <v>2.2675000000000001</v>
      </c>
      <c r="P7" s="26">
        <f t="shared" si="4"/>
        <v>3.2</v>
      </c>
      <c r="Q7" s="26">
        <f t="shared" si="5"/>
        <v>5.1520000000000001</v>
      </c>
      <c r="R7" s="26">
        <f t="shared" si="6"/>
        <v>3.2675000000000001</v>
      </c>
      <c r="S7" s="26">
        <f t="shared" si="7"/>
        <v>3.2</v>
      </c>
      <c r="T7" s="26">
        <f t="shared" si="8"/>
        <v>0</v>
      </c>
      <c r="U7" s="26">
        <f t="shared" si="9"/>
        <v>0</v>
      </c>
      <c r="V7" s="26">
        <f t="shared" si="10"/>
        <v>11.619499999999999</v>
      </c>
      <c r="W7" s="26" cm="1">
        <f t="array" ref="W7">_xlfn.IFS(
    A7=1, IF(V7&gt;=22,4, IF(V7&gt;=18,5, 6)),
    A7=6, IF(V7&gt;=22,11, IF(V7&gt;=18,12, 13)),
    V7&gt;=22, IF(L7&gt;=8,1,2),
    V7&gt;=20, 3,
    AND(L7&lt;=3, R7&gt;=7), 14,
    AND(L7&gt;=7, R7&lt;=5), 15,
    P7=5, 17,
    V7&gt;=18, 8,
    V7&gt;=15, 9,
    TRUE, 10
)</f>
        <v>13</v>
      </c>
      <c r="X7" s="15" t="str" cm="1">
        <f t="array" ref="X7">_xlfn.IFS(
 W7=1,"◎",
 W7=2,"○",
 W7=3,"○",
 W7=4,"◎",
 W7=5,"○",
 W7=6,"×",
 W7=7,"△",
 W7=8,"○",
 W7=9,"△",
 W7=10,"×",
 W7=11,"△",
 W7=12,"△",
 W7=13,"×",
 W7=14,"△",
 W7=15,"△",
 W7=16,"△",
 W7=17,"○",
 W7=18,"△"
)</f>
        <v>×</v>
      </c>
    </row>
    <row r="14" spans="1:25">
      <c r="A14" s="1" t="s">
        <v>24</v>
      </c>
    </row>
    <row r="15" spans="1:25" ht="14.25" thickBot="1"/>
    <row r="16" spans="1:25">
      <c r="A16" s="2" t="s">
        <v>73</v>
      </c>
      <c r="B16" s="3" t="s">
        <v>25</v>
      </c>
      <c r="C16" s="3"/>
      <c r="D16" s="3"/>
      <c r="E16" s="3" t="s">
        <v>26</v>
      </c>
      <c r="F16" s="3" t="s">
        <v>27</v>
      </c>
      <c r="G16" s="3" t="s">
        <v>4</v>
      </c>
      <c r="H16" s="3" t="s">
        <v>5</v>
      </c>
      <c r="I16" s="3"/>
      <c r="J16" s="3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29</v>
      </c>
      <c r="Y16" s="4"/>
    </row>
    <row r="17" spans="1:25">
      <c r="A17" s="5"/>
      <c r="J17" s="1" t="s">
        <v>30</v>
      </c>
      <c r="Y17" s="6"/>
    </row>
    <row r="18" spans="1:25">
      <c r="A18" s="5"/>
      <c r="J18" s="1" t="s">
        <v>31</v>
      </c>
      <c r="Y18" s="6"/>
    </row>
    <row r="19" spans="1:25">
      <c r="A19" s="5"/>
      <c r="B19" s="1" t="s">
        <v>32</v>
      </c>
      <c r="C19" s="1" t="s">
        <v>33</v>
      </c>
      <c r="D19" s="1" t="s">
        <v>34</v>
      </c>
      <c r="E19" s="1" t="s">
        <v>2</v>
      </c>
      <c r="F19" s="1" t="s">
        <v>2</v>
      </c>
      <c r="G19" s="1" t="s">
        <v>35</v>
      </c>
      <c r="H19" s="1" t="s">
        <v>35</v>
      </c>
      <c r="J19" s="1" t="s">
        <v>36</v>
      </c>
      <c r="Y19" s="6"/>
    </row>
    <row r="20" spans="1:25">
      <c r="A20" s="5"/>
      <c r="C20" s="1" t="s">
        <v>37</v>
      </c>
      <c r="D20" s="1" t="s">
        <v>38</v>
      </c>
      <c r="E20" s="1" t="s">
        <v>39</v>
      </c>
      <c r="F20" s="1" t="s">
        <v>39</v>
      </c>
      <c r="G20" s="1" t="s">
        <v>39</v>
      </c>
      <c r="H20" s="1" t="s">
        <v>39</v>
      </c>
      <c r="Y20" s="6"/>
    </row>
    <row r="21" spans="1:25">
      <c r="A21" s="5"/>
      <c r="C21" s="1" t="s">
        <v>40</v>
      </c>
      <c r="D21" s="1" t="s">
        <v>41</v>
      </c>
      <c r="E21" s="1" t="s">
        <v>42</v>
      </c>
      <c r="F21" s="1" t="s">
        <v>42</v>
      </c>
      <c r="G21" s="1" t="s">
        <v>42</v>
      </c>
      <c r="H21" s="1" t="s">
        <v>42</v>
      </c>
      <c r="Y21" s="6"/>
    </row>
    <row r="22" spans="1:25">
      <c r="A22" s="5"/>
      <c r="C22" s="1" t="s">
        <v>43</v>
      </c>
      <c r="J22" s="1" t="s">
        <v>44</v>
      </c>
      <c r="L22" s="1" t="s">
        <v>45</v>
      </c>
      <c r="N22" s="1" t="s">
        <v>46</v>
      </c>
      <c r="P22" s="1" t="s">
        <v>173</v>
      </c>
      <c r="R22" s="1" t="s">
        <v>174</v>
      </c>
      <c r="T22" s="1" t="s">
        <v>333</v>
      </c>
      <c r="V22" s="1" t="s">
        <v>47</v>
      </c>
      <c r="Y22" s="6"/>
    </row>
    <row r="23" spans="1:25">
      <c r="A23" s="5">
        <v>1</v>
      </c>
      <c r="C23" s="1" t="s">
        <v>334</v>
      </c>
      <c r="D23" s="1" t="s">
        <v>48</v>
      </c>
      <c r="E23" s="1">
        <v>3.78</v>
      </c>
      <c r="F23" s="1">
        <v>4.0199999999999996</v>
      </c>
      <c r="G23" s="1">
        <v>21</v>
      </c>
      <c r="H23" s="1">
        <v>66</v>
      </c>
      <c r="J23" s="1">
        <v>1</v>
      </c>
      <c r="K23" s="1">
        <v>7</v>
      </c>
      <c r="L23" s="1">
        <v>6</v>
      </c>
      <c r="X23" s="1" t="s">
        <v>338</v>
      </c>
      <c r="Y23" s="6"/>
    </row>
    <row r="24" spans="1:25">
      <c r="A24" s="5"/>
      <c r="C24" s="1" t="s">
        <v>335</v>
      </c>
      <c r="D24" s="1" t="s">
        <v>49</v>
      </c>
      <c r="E24" s="1">
        <v>19.48</v>
      </c>
      <c r="F24" s="1">
        <v>27.27</v>
      </c>
      <c r="G24" s="1">
        <v>46.32</v>
      </c>
      <c r="H24" s="1">
        <v>39.42</v>
      </c>
      <c r="J24" s="1">
        <v>6</v>
      </c>
      <c r="K24" s="1">
        <v>4</v>
      </c>
      <c r="L24" s="1">
        <v>2</v>
      </c>
      <c r="Y24" s="6"/>
    </row>
    <row r="25" spans="1:25">
      <c r="A25" s="5"/>
      <c r="C25" s="1" t="s">
        <v>336</v>
      </c>
      <c r="D25" s="1">
        <v>0.15</v>
      </c>
      <c r="E25" s="1">
        <v>31.17</v>
      </c>
      <c r="F25" s="1">
        <v>32.729999999999997</v>
      </c>
      <c r="G25" s="1">
        <v>60.29</v>
      </c>
      <c r="H25" s="1">
        <v>56.2</v>
      </c>
      <c r="J25" s="1">
        <v>0.11</v>
      </c>
      <c r="K25" s="1">
        <v>0.08</v>
      </c>
      <c r="L25" s="1">
        <v>0.16</v>
      </c>
      <c r="Y25" s="6"/>
    </row>
    <row r="26" spans="1:25">
      <c r="A26" s="5"/>
      <c r="C26" s="1" t="s">
        <v>337</v>
      </c>
      <c r="J26" s="1">
        <v>3</v>
      </c>
      <c r="K26" s="1">
        <v>3</v>
      </c>
      <c r="L26" s="1">
        <v>3</v>
      </c>
      <c r="Y26" s="6"/>
    </row>
    <row r="27" spans="1:25">
      <c r="A27" s="5">
        <v>2</v>
      </c>
      <c r="C27" s="1" t="s">
        <v>339</v>
      </c>
      <c r="D27" s="1" t="s">
        <v>48</v>
      </c>
      <c r="E27" s="1">
        <v>4.87</v>
      </c>
      <c r="F27" s="1">
        <v>5.23</v>
      </c>
      <c r="G27" s="1">
        <v>44</v>
      </c>
      <c r="H27" s="1">
        <v>13</v>
      </c>
      <c r="J27" s="1">
        <v>3</v>
      </c>
      <c r="L27" s="1">
        <v>2</v>
      </c>
      <c r="M27" s="1">
        <v>7</v>
      </c>
      <c r="Y27" s="6"/>
    </row>
    <row r="28" spans="1:25">
      <c r="A28" s="5"/>
      <c r="C28" s="1" t="s">
        <v>340</v>
      </c>
      <c r="D28" s="1" t="s">
        <v>49</v>
      </c>
      <c r="E28" s="1">
        <v>26.83</v>
      </c>
      <c r="F28" s="1">
        <v>30.77</v>
      </c>
      <c r="G28" s="1">
        <v>33.33</v>
      </c>
      <c r="H28" s="1">
        <v>27.86</v>
      </c>
      <c r="J28" s="1">
        <v>1</v>
      </c>
      <c r="L28" s="1">
        <v>4</v>
      </c>
      <c r="M28" s="1">
        <v>3</v>
      </c>
      <c r="Y28" s="6"/>
    </row>
    <row r="29" spans="1:25">
      <c r="A29" s="5"/>
      <c r="C29" s="1" t="s">
        <v>341</v>
      </c>
      <c r="D29" s="1">
        <v>0.18</v>
      </c>
      <c r="E29" s="1">
        <v>43.9</v>
      </c>
      <c r="F29" s="1">
        <v>46.15</v>
      </c>
      <c r="G29" s="1">
        <v>51.11</v>
      </c>
      <c r="H29" s="1">
        <v>43.57</v>
      </c>
      <c r="J29" s="1">
        <v>0.3</v>
      </c>
      <c r="L29" s="1">
        <v>0.15</v>
      </c>
      <c r="M29" s="1">
        <v>0.26</v>
      </c>
      <c r="Y29" s="6"/>
    </row>
    <row r="30" spans="1:25">
      <c r="A30" s="5"/>
      <c r="C30" s="1" t="s">
        <v>342</v>
      </c>
      <c r="J30" s="1">
        <v>6</v>
      </c>
      <c r="L30" s="1">
        <v>4</v>
      </c>
      <c r="M30" s="1">
        <v>5</v>
      </c>
      <c r="Y30" s="6"/>
    </row>
    <row r="31" spans="1:25">
      <c r="A31" s="5">
        <v>3</v>
      </c>
      <c r="C31" s="1" t="s">
        <v>343</v>
      </c>
      <c r="D31" s="1" t="s">
        <v>48</v>
      </c>
      <c r="E31" s="1">
        <v>4.5599999999999996</v>
      </c>
      <c r="F31" s="1">
        <v>0</v>
      </c>
      <c r="G31" s="1">
        <v>67</v>
      </c>
      <c r="H31" s="1">
        <v>30</v>
      </c>
      <c r="J31" s="1">
        <v>5</v>
      </c>
      <c r="K31" s="1">
        <v>10</v>
      </c>
      <c r="L31" s="1">
        <v>2</v>
      </c>
      <c r="X31" s="1" t="s">
        <v>347</v>
      </c>
      <c r="Y31" s="6"/>
    </row>
    <row r="32" spans="1:25">
      <c r="A32" s="5"/>
      <c r="C32" s="1" t="s">
        <v>344</v>
      </c>
      <c r="D32" s="1" t="s">
        <v>49</v>
      </c>
      <c r="E32" s="1">
        <v>26.6</v>
      </c>
      <c r="F32" s="1">
        <v>0</v>
      </c>
      <c r="G32" s="1">
        <v>27.89</v>
      </c>
      <c r="H32" s="1">
        <v>34.53</v>
      </c>
      <c r="J32" s="1">
        <v>5</v>
      </c>
      <c r="K32" s="1">
        <v>2</v>
      </c>
      <c r="L32" s="1">
        <v>1</v>
      </c>
      <c r="Y32" s="6"/>
    </row>
    <row r="33" spans="1:25">
      <c r="A33" s="5"/>
      <c r="C33" s="1" t="s">
        <v>345</v>
      </c>
      <c r="D33" s="1">
        <v>0.23</v>
      </c>
      <c r="E33" s="1">
        <v>40.43</v>
      </c>
      <c r="F33" s="1">
        <v>0</v>
      </c>
      <c r="G33" s="1">
        <v>42.86</v>
      </c>
      <c r="H33" s="1">
        <v>55.4</v>
      </c>
      <c r="J33" s="1">
        <v>0.23</v>
      </c>
      <c r="K33" s="1">
        <v>0.23</v>
      </c>
      <c r="L33" s="1">
        <v>0.19</v>
      </c>
      <c r="Y33" s="6"/>
    </row>
    <row r="34" spans="1:25">
      <c r="A34" s="5"/>
      <c r="C34" s="1" t="s">
        <v>346</v>
      </c>
      <c r="J34" s="1">
        <v>4</v>
      </c>
      <c r="K34" s="1">
        <v>6</v>
      </c>
      <c r="L34" s="1">
        <v>1</v>
      </c>
      <c r="Y34" s="6"/>
    </row>
    <row r="35" spans="1:25">
      <c r="A35" s="5">
        <v>4</v>
      </c>
      <c r="C35" s="1" t="s">
        <v>348</v>
      </c>
      <c r="D35" s="1" t="s">
        <v>48</v>
      </c>
      <c r="E35" s="1">
        <v>4.68</v>
      </c>
      <c r="F35" s="1">
        <v>4.38</v>
      </c>
      <c r="G35" s="1">
        <v>37</v>
      </c>
      <c r="H35" s="1">
        <v>62</v>
      </c>
      <c r="J35" s="1">
        <v>3</v>
      </c>
      <c r="K35" s="1">
        <v>10</v>
      </c>
      <c r="L35" s="1">
        <v>8</v>
      </c>
      <c r="X35" s="1" t="s">
        <v>352</v>
      </c>
      <c r="Y35" s="6"/>
    </row>
    <row r="36" spans="1:25">
      <c r="A36" s="5"/>
      <c r="C36" s="1" t="s">
        <v>349</v>
      </c>
      <c r="D36" s="1" t="s">
        <v>49</v>
      </c>
      <c r="E36" s="1">
        <v>24.55</v>
      </c>
      <c r="F36" s="1">
        <v>20.83</v>
      </c>
      <c r="G36" s="1">
        <v>23.53</v>
      </c>
      <c r="H36" s="1">
        <v>32.86</v>
      </c>
      <c r="J36" s="1">
        <v>2</v>
      </c>
      <c r="K36" s="1">
        <v>6</v>
      </c>
      <c r="L36" s="1">
        <v>5</v>
      </c>
      <c r="Y36" s="6"/>
    </row>
    <row r="37" spans="1:25">
      <c r="A37" s="5"/>
      <c r="C37" s="1" t="s">
        <v>350</v>
      </c>
      <c r="D37" s="1">
        <v>0.17</v>
      </c>
      <c r="E37" s="1">
        <v>44.55</v>
      </c>
      <c r="F37" s="1">
        <v>41.67</v>
      </c>
      <c r="G37" s="1">
        <v>41.18</v>
      </c>
      <c r="H37" s="1">
        <v>50.71</v>
      </c>
      <c r="J37" s="1">
        <v>0.28999999999999998</v>
      </c>
      <c r="K37" s="1">
        <v>0.19</v>
      </c>
      <c r="L37" s="1">
        <v>0.24</v>
      </c>
      <c r="Y37" s="6"/>
    </row>
    <row r="38" spans="1:25">
      <c r="A38" s="5"/>
      <c r="C38" s="1" t="s">
        <v>351</v>
      </c>
      <c r="J38" s="1">
        <v>3</v>
      </c>
      <c r="K38" s="1">
        <v>5</v>
      </c>
      <c r="L38" s="1">
        <v>5</v>
      </c>
      <c r="Y38" s="6"/>
    </row>
    <row r="39" spans="1:25">
      <c r="A39" s="5">
        <v>5</v>
      </c>
      <c r="C39" s="1" t="s">
        <v>353</v>
      </c>
      <c r="D39" s="1" t="s">
        <v>357</v>
      </c>
      <c r="E39" s="1">
        <v>3.39</v>
      </c>
      <c r="F39" s="1">
        <v>2.94</v>
      </c>
      <c r="G39" s="1">
        <v>50</v>
      </c>
      <c r="H39" s="1">
        <v>18</v>
      </c>
      <c r="J39" s="1">
        <v>9</v>
      </c>
      <c r="L39" s="1">
        <v>7</v>
      </c>
      <c r="X39" s="1" t="s">
        <v>358</v>
      </c>
      <c r="Y39" s="6"/>
    </row>
    <row r="40" spans="1:25">
      <c r="A40" s="5"/>
      <c r="C40" s="1" t="s">
        <v>354</v>
      </c>
      <c r="D40" s="1" t="s">
        <v>49</v>
      </c>
      <c r="E40" s="1">
        <v>8.11</v>
      </c>
      <c r="F40" s="1">
        <v>9.3800000000000008</v>
      </c>
      <c r="G40" s="1">
        <v>27.34</v>
      </c>
      <c r="H40" s="1">
        <v>39.69</v>
      </c>
      <c r="J40" s="1">
        <v>4</v>
      </c>
      <c r="L40" s="1">
        <v>6</v>
      </c>
      <c r="Y40" s="6"/>
    </row>
    <row r="41" spans="1:25">
      <c r="A41" s="5"/>
      <c r="C41" s="1" t="s">
        <v>355</v>
      </c>
      <c r="D41" s="1">
        <v>0.17</v>
      </c>
      <c r="E41" s="1">
        <v>25.68</v>
      </c>
      <c r="F41" s="1">
        <v>15.63</v>
      </c>
      <c r="G41" s="1">
        <v>43.17</v>
      </c>
      <c r="H41" s="1">
        <v>55.73</v>
      </c>
      <c r="J41" s="1">
        <v>0.3</v>
      </c>
      <c r="L41" s="1">
        <v>0.3</v>
      </c>
      <c r="Y41" s="6"/>
    </row>
    <row r="42" spans="1:25">
      <c r="A42" s="5"/>
      <c r="C42" s="1" t="s">
        <v>356</v>
      </c>
      <c r="J42" s="1">
        <v>4</v>
      </c>
      <c r="L42" s="1">
        <v>4</v>
      </c>
      <c r="Y42" s="6"/>
    </row>
    <row r="43" spans="1:25">
      <c r="A43" s="5">
        <v>6</v>
      </c>
      <c r="C43" s="1" t="s">
        <v>359</v>
      </c>
      <c r="D43" s="1" t="s">
        <v>48</v>
      </c>
      <c r="E43" s="1">
        <v>3.46</v>
      </c>
      <c r="F43" s="1">
        <v>1.4</v>
      </c>
      <c r="G43" s="1">
        <v>51</v>
      </c>
      <c r="H43" s="1">
        <v>53</v>
      </c>
      <c r="J43" s="1">
        <v>1</v>
      </c>
      <c r="K43" s="1">
        <v>6</v>
      </c>
      <c r="L43" s="1">
        <v>6</v>
      </c>
      <c r="X43" s="1" t="s">
        <v>363</v>
      </c>
      <c r="Y43" s="6"/>
    </row>
    <row r="44" spans="1:25">
      <c r="A44" s="5"/>
      <c r="C44" s="1" t="s">
        <v>360</v>
      </c>
      <c r="D44" s="1" t="s">
        <v>49</v>
      </c>
      <c r="E44" s="1">
        <v>12.5</v>
      </c>
      <c r="F44" s="1">
        <v>0</v>
      </c>
      <c r="G44" s="1">
        <v>27.46</v>
      </c>
      <c r="H44" s="1">
        <v>34.07</v>
      </c>
      <c r="J44" s="1">
        <v>1</v>
      </c>
      <c r="K44" s="1">
        <v>4</v>
      </c>
      <c r="L44" s="1">
        <v>5</v>
      </c>
      <c r="Y44" s="6"/>
    </row>
    <row r="45" spans="1:25">
      <c r="A45" s="5"/>
      <c r="C45" s="1" t="s">
        <v>361</v>
      </c>
      <c r="D45" s="1">
        <v>0.16</v>
      </c>
      <c r="E45" s="1">
        <v>22.5</v>
      </c>
      <c r="F45" s="1">
        <v>0</v>
      </c>
      <c r="G45" s="1">
        <v>41.55</v>
      </c>
      <c r="H45" s="1">
        <v>49.63</v>
      </c>
      <c r="J45" s="1">
        <v>0.14000000000000001</v>
      </c>
      <c r="K45" s="1">
        <v>0.12</v>
      </c>
      <c r="L45" s="1">
        <v>0.17</v>
      </c>
      <c r="Y45" s="6"/>
    </row>
    <row r="46" spans="1:25">
      <c r="A46" s="5"/>
      <c r="C46" s="1" t="s">
        <v>362</v>
      </c>
      <c r="J46" s="1">
        <v>2</v>
      </c>
      <c r="K46" s="1">
        <v>6</v>
      </c>
      <c r="L46" s="1">
        <v>4</v>
      </c>
      <c r="Y46" s="6"/>
    </row>
    <row r="47" spans="1:25" ht="14.25" thickBot="1">
      <c r="A47" s="7" t="s">
        <v>50</v>
      </c>
      <c r="B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</row>
    <row r="48" spans="1:25">
      <c r="A48" s="1" t="s">
        <v>158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9507-A54D-4435-8646-88736AD282E6}">
  <sheetPr codeName="Sheet2"/>
  <dimension ref="A1:Y144"/>
  <sheetViews>
    <sheetView topLeftCell="M1" workbookViewId="0">
      <selection activeCell="T1" sqref="T1:T7"/>
    </sheetView>
  </sheetViews>
  <sheetFormatPr defaultRowHeight="28.5" customHeight="1"/>
  <cols>
    <col min="1" max="1" width="9" style="1"/>
    <col min="2" max="2" width="13.25" style="1" customWidth="1"/>
    <col min="3" max="7" width="9" style="1"/>
    <col min="8" max="8" width="22.75" style="1" bestFit="1" customWidth="1"/>
    <col min="9" max="9" width="10.5" style="1" bestFit="1" customWidth="1"/>
    <col min="10" max="10" width="29.375" style="1" bestFit="1" customWidth="1"/>
    <col min="11" max="11" width="32.75" style="1" bestFit="1" customWidth="1"/>
    <col min="12" max="14" width="33.875" style="1" bestFit="1" customWidth="1"/>
    <col min="15" max="17" width="9.5" style="1" bestFit="1" customWidth="1"/>
    <col min="18" max="18" width="28.25" style="1" bestFit="1" customWidth="1"/>
    <col min="19" max="19" width="13.875" style="1" bestFit="1" customWidth="1"/>
    <col min="20" max="20" width="12.75" style="1" bestFit="1" customWidth="1"/>
    <col min="21" max="16384" width="9" style="1"/>
  </cols>
  <sheetData>
    <row r="1" spans="1:20" s="10" customFormat="1" ht="28.5" customHeight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21</v>
      </c>
      <c r="S1" s="25" t="s">
        <v>22</v>
      </c>
      <c r="T1" s="16" t="s">
        <v>23</v>
      </c>
    </row>
    <row r="2" spans="1:20" ht="28.5" customHeight="1">
      <c r="A2" s="12">
        <v>1</v>
      </c>
      <c r="B2" s="11" t="str">
        <f>TRIM(C120)</f>
        <v>中野　希一</v>
      </c>
      <c r="C2" s="11">
        <f>E119</f>
        <v>6.93</v>
      </c>
      <c r="D2" s="11">
        <f>F119</f>
        <v>6.63</v>
      </c>
      <c r="E2" s="11">
        <f>G120</f>
        <v>34.58</v>
      </c>
      <c r="F2" s="11">
        <f>H120</f>
        <v>43.18</v>
      </c>
      <c r="G2" s="11">
        <f>D121</f>
        <v>0.13</v>
      </c>
      <c r="H2" s="11" t="str">
        <f>RIGHT(C119,2)</f>
        <v>A1</v>
      </c>
      <c r="I2" s="11" t="str">
        <f>LEFT(C121,3)</f>
        <v>埼玉/</v>
      </c>
      <c r="J2" s="102" t="s">
        <v>267</v>
      </c>
      <c r="K2" s="102" t="s">
        <v>273</v>
      </c>
      <c r="L2" s="102" t="s">
        <v>279</v>
      </c>
      <c r="M2" s="102" t="s">
        <v>285</v>
      </c>
      <c r="N2" s="102" t="s">
        <v>291</v>
      </c>
      <c r="O2" s="102" t="s">
        <v>297</v>
      </c>
      <c r="P2" s="102" t="s">
        <v>303</v>
      </c>
      <c r="Q2" s="102" t="s">
        <v>309</v>
      </c>
      <c r="R2" s="102" t="s">
        <v>315</v>
      </c>
      <c r="S2" s="104" t="s">
        <v>321</v>
      </c>
      <c r="T2" s="106" t="s">
        <v>327</v>
      </c>
    </row>
    <row r="3" spans="1:20" ht="28.5" customHeight="1">
      <c r="A3" s="12">
        <v>2</v>
      </c>
      <c r="B3" s="11" t="str">
        <f>TRIM(C124)</f>
        <v>石塚　久也</v>
      </c>
      <c r="C3" s="11">
        <f>E123</f>
        <v>5.78</v>
      </c>
      <c r="D3" s="11">
        <f>F123</f>
        <v>6.79</v>
      </c>
      <c r="E3" s="11">
        <f>G124</f>
        <v>32.43</v>
      </c>
      <c r="F3" s="11">
        <f>H124</f>
        <v>36.049999999999997</v>
      </c>
      <c r="G3" s="11">
        <f>D125</f>
        <v>0.19</v>
      </c>
      <c r="H3" s="11" t="str">
        <f>RIGHT(C123,2)</f>
        <v>A2</v>
      </c>
      <c r="I3" s="11" t="str">
        <f>LEFT(C125,3)</f>
        <v>埼玉/</v>
      </c>
      <c r="J3" s="102" t="s">
        <v>268</v>
      </c>
      <c r="K3" s="102" t="s">
        <v>274</v>
      </c>
      <c r="L3" s="102" t="s">
        <v>280</v>
      </c>
      <c r="M3" s="102" t="s">
        <v>286</v>
      </c>
      <c r="N3" s="102" t="s">
        <v>292</v>
      </c>
      <c r="O3" s="102" t="s">
        <v>298</v>
      </c>
      <c r="P3" s="102" t="s">
        <v>304</v>
      </c>
      <c r="Q3" s="102" t="s">
        <v>310</v>
      </c>
      <c r="R3" s="102" t="s">
        <v>316</v>
      </c>
      <c r="S3" s="104" t="s">
        <v>322</v>
      </c>
      <c r="T3" s="106" t="s">
        <v>328</v>
      </c>
    </row>
    <row r="4" spans="1:20" ht="28.5" customHeight="1">
      <c r="A4" s="12">
        <v>3</v>
      </c>
      <c r="B4" s="11" t="str">
        <f>TRIM(C128)</f>
        <v>中田　竜太</v>
      </c>
      <c r="C4" s="11">
        <f>E127</f>
        <v>6.21</v>
      </c>
      <c r="D4" s="11">
        <f>F127</f>
        <v>7.01</v>
      </c>
      <c r="E4" s="11">
        <f>G128</f>
        <v>32.93</v>
      </c>
      <c r="F4" s="11">
        <f>H128</f>
        <v>40.22</v>
      </c>
      <c r="G4" s="11">
        <f>D129</f>
        <v>0.15</v>
      </c>
      <c r="H4" s="11" t="str">
        <f>RIGHT(C127,2)</f>
        <v>A1</v>
      </c>
      <c r="I4" s="11" t="str">
        <f>LEFT(C129,3)</f>
        <v>埼玉/</v>
      </c>
      <c r="J4" s="102" t="s">
        <v>269</v>
      </c>
      <c r="K4" s="102" t="s">
        <v>275</v>
      </c>
      <c r="L4" s="102" t="s">
        <v>281</v>
      </c>
      <c r="M4" s="102" t="s">
        <v>287</v>
      </c>
      <c r="N4" s="102" t="s">
        <v>293</v>
      </c>
      <c r="O4" s="102" t="s">
        <v>299</v>
      </c>
      <c r="P4" s="102" t="s">
        <v>305</v>
      </c>
      <c r="Q4" s="102" t="s">
        <v>311</v>
      </c>
      <c r="R4" s="102" t="s">
        <v>317</v>
      </c>
      <c r="S4" s="104" t="s">
        <v>323</v>
      </c>
      <c r="T4" s="106" t="s">
        <v>329</v>
      </c>
    </row>
    <row r="5" spans="1:20" ht="28.5" customHeight="1">
      <c r="A5" s="12">
        <v>4</v>
      </c>
      <c r="B5" s="11" t="str">
        <f>TRIM(C132)</f>
        <v>佐藤　翼</v>
      </c>
      <c r="C5" s="11">
        <f>E131</f>
        <v>6.53</v>
      </c>
      <c r="D5" s="11">
        <f>F131</f>
        <v>7.93</v>
      </c>
      <c r="E5" s="11">
        <f>G132</f>
        <v>35</v>
      </c>
      <c r="F5" s="11">
        <f>H132</f>
        <v>31.03</v>
      </c>
      <c r="G5" s="11">
        <f>D133</f>
        <v>0.13</v>
      </c>
      <c r="H5" s="11" t="str">
        <f>RIGHT(C131,2)</f>
        <v>A1</v>
      </c>
      <c r="I5" s="11" t="str">
        <f>LEFT(C133,3)</f>
        <v>埼玉/</v>
      </c>
      <c r="J5" s="102" t="s">
        <v>270</v>
      </c>
      <c r="K5" s="102" t="s">
        <v>276</v>
      </c>
      <c r="L5" s="102" t="s">
        <v>282</v>
      </c>
      <c r="M5" s="102" t="s">
        <v>288</v>
      </c>
      <c r="N5" s="102" t="s">
        <v>294</v>
      </c>
      <c r="O5" s="102" t="s">
        <v>300</v>
      </c>
      <c r="P5" s="102" t="s">
        <v>306</v>
      </c>
      <c r="Q5" s="102" t="s">
        <v>312</v>
      </c>
      <c r="R5" s="102" t="s">
        <v>318</v>
      </c>
      <c r="S5" s="104" t="s">
        <v>324</v>
      </c>
      <c r="T5" s="106" t="s">
        <v>330</v>
      </c>
    </row>
    <row r="6" spans="1:20" ht="28.5" customHeight="1">
      <c r="A6" s="12">
        <v>5</v>
      </c>
      <c r="B6" s="11" t="str">
        <f>TRIM(C136)</f>
        <v>飛田　江己</v>
      </c>
      <c r="C6" s="11">
        <f>E135</f>
        <v>6.61</v>
      </c>
      <c r="D6" s="11">
        <f>F135</f>
        <v>6.51</v>
      </c>
      <c r="E6" s="11">
        <f>G136</f>
        <v>40.21</v>
      </c>
      <c r="F6" s="11">
        <f>H136</f>
        <v>30.11</v>
      </c>
      <c r="G6" s="11">
        <f>D137</f>
        <v>0.13</v>
      </c>
      <c r="H6" s="11" t="str">
        <f>RIGHT(C135,2)</f>
        <v>A1</v>
      </c>
      <c r="I6" s="11" t="str">
        <f>LEFT(C137,3)</f>
        <v>埼玉/</v>
      </c>
      <c r="J6" s="102" t="s">
        <v>271</v>
      </c>
      <c r="K6" s="102" t="s">
        <v>277</v>
      </c>
      <c r="L6" s="102" t="s">
        <v>283</v>
      </c>
      <c r="M6" s="102" t="s">
        <v>289</v>
      </c>
      <c r="N6" s="102" t="s">
        <v>295</v>
      </c>
      <c r="O6" s="102" t="s">
        <v>301</v>
      </c>
      <c r="P6" s="102" t="s">
        <v>307</v>
      </c>
      <c r="Q6" s="102" t="s">
        <v>313</v>
      </c>
      <c r="R6" s="102" t="s">
        <v>319</v>
      </c>
      <c r="S6" s="104" t="s">
        <v>325</v>
      </c>
      <c r="T6" s="106" t="s">
        <v>331</v>
      </c>
    </row>
    <row r="7" spans="1:20" ht="28.5" customHeight="1" thickBot="1">
      <c r="A7" s="14">
        <v>6</v>
      </c>
      <c r="B7" s="26" t="str">
        <f>TRIM(C140)</f>
        <v>佐藤　航</v>
      </c>
      <c r="C7" s="26">
        <f>E139</f>
        <v>6.22</v>
      </c>
      <c r="D7" s="26">
        <f>F139</f>
        <v>5.57</v>
      </c>
      <c r="E7" s="26">
        <f>G140</f>
        <v>41.58</v>
      </c>
      <c r="F7" s="26">
        <f>H140</f>
        <v>45.05</v>
      </c>
      <c r="G7" s="26">
        <f>D141</f>
        <v>0.15</v>
      </c>
      <c r="H7" s="26" t="str">
        <f>RIGHT(C139,2)</f>
        <v>A2</v>
      </c>
      <c r="I7" s="26" t="str">
        <f>LEFT(C141,3)</f>
        <v>埼玉/</v>
      </c>
      <c r="J7" s="103" t="s">
        <v>272</v>
      </c>
      <c r="K7" s="103" t="s">
        <v>278</v>
      </c>
      <c r="L7" s="103" t="s">
        <v>284</v>
      </c>
      <c r="M7" s="103" t="s">
        <v>290</v>
      </c>
      <c r="N7" s="103" t="s">
        <v>296</v>
      </c>
      <c r="O7" s="103" t="s">
        <v>302</v>
      </c>
      <c r="P7" s="103" t="s">
        <v>308</v>
      </c>
      <c r="Q7" s="103" t="s">
        <v>314</v>
      </c>
      <c r="R7" s="103" t="s">
        <v>320</v>
      </c>
      <c r="S7" s="105" t="s">
        <v>326</v>
      </c>
      <c r="T7" s="107" t="s">
        <v>332</v>
      </c>
    </row>
    <row r="9" spans="1:20" ht="28.5" customHeight="1">
      <c r="A9" s="1" t="s">
        <v>226</v>
      </c>
    </row>
    <row r="10" spans="1:20" ht="28.5" customHeight="1">
      <c r="A10" s="1" t="s">
        <v>0</v>
      </c>
      <c r="B10" s="1" t="s">
        <v>242</v>
      </c>
      <c r="C10" s="1" t="s">
        <v>243</v>
      </c>
    </row>
    <row r="11" spans="1:20" ht="28.5" customHeight="1">
      <c r="A11" s="1" t="s">
        <v>1</v>
      </c>
      <c r="B11" s="1" t="s">
        <v>242</v>
      </c>
      <c r="C11" s="1" t="s">
        <v>244</v>
      </c>
    </row>
    <row r="12" spans="1:20" ht="28.5" customHeight="1">
      <c r="A12" s="1" t="s">
        <v>2</v>
      </c>
      <c r="B12" s="1" t="s">
        <v>245</v>
      </c>
      <c r="C12" s="101" t="s">
        <v>246</v>
      </c>
    </row>
    <row r="13" spans="1:20" ht="28.5" customHeight="1">
      <c r="A13" s="1" t="s">
        <v>3</v>
      </c>
      <c r="B13" s="1" t="s">
        <v>245</v>
      </c>
      <c r="C13" s="101" t="s">
        <v>247</v>
      </c>
    </row>
    <row r="14" spans="1:20" ht="28.5" customHeight="1">
      <c r="A14" s="1" t="s">
        <v>4</v>
      </c>
      <c r="B14" s="101" t="s">
        <v>250</v>
      </c>
      <c r="C14" s="101" t="s">
        <v>248</v>
      </c>
    </row>
    <row r="15" spans="1:20" ht="28.5" customHeight="1">
      <c r="A15" s="1" t="s">
        <v>5</v>
      </c>
      <c r="B15" s="101" t="s">
        <v>250</v>
      </c>
      <c r="C15" s="101" t="s">
        <v>249</v>
      </c>
    </row>
    <row r="16" spans="1:20" ht="28.5" customHeight="1">
      <c r="A16" s="1" t="s">
        <v>6</v>
      </c>
      <c r="B16" s="1" t="s">
        <v>253</v>
      </c>
      <c r="C16" s="1" t="s">
        <v>255</v>
      </c>
      <c r="D16" s="101" t="s">
        <v>257</v>
      </c>
    </row>
    <row r="17" spans="1:4" ht="28.5" customHeight="1">
      <c r="A17" s="1" t="s">
        <v>7</v>
      </c>
      <c r="B17" s="1" t="s">
        <v>156</v>
      </c>
      <c r="C17" s="1" t="s">
        <v>156</v>
      </c>
      <c r="D17" s="1" t="s">
        <v>259</v>
      </c>
    </row>
    <row r="18" spans="1:4" ht="28.5" customHeight="1">
      <c r="A18" s="1" t="s">
        <v>227</v>
      </c>
      <c r="B18" s="1" t="s">
        <v>156</v>
      </c>
      <c r="C18" s="1" t="s">
        <v>156</v>
      </c>
      <c r="D18" s="1" t="s">
        <v>261</v>
      </c>
    </row>
    <row r="19" spans="1:4" ht="28.5" customHeight="1">
      <c r="A19" s="1" t="s">
        <v>9</v>
      </c>
      <c r="B19" s="1" t="s">
        <v>253</v>
      </c>
      <c r="C19" s="1" t="s">
        <v>254</v>
      </c>
      <c r="D19" s="101" t="s">
        <v>257</v>
      </c>
    </row>
    <row r="20" spans="1:4" ht="28.5" customHeight="1">
      <c r="A20" s="1" t="s">
        <v>10</v>
      </c>
      <c r="B20" s="1" t="s">
        <v>253</v>
      </c>
      <c r="C20" s="1" t="s">
        <v>256</v>
      </c>
      <c r="D20" s="101" t="s">
        <v>257</v>
      </c>
    </row>
    <row r="21" spans="1:4" ht="28.5" customHeight="1">
      <c r="A21" s="1" t="s">
        <v>11</v>
      </c>
      <c r="B21" s="1" t="s">
        <v>263</v>
      </c>
    </row>
    <row r="22" spans="1:4" ht="28.5" customHeight="1">
      <c r="A22" s="1" t="s">
        <v>12</v>
      </c>
      <c r="B22" s="1" t="s">
        <v>263</v>
      </c>
    </row>
    <row r="23" spans="1:4" ht="28.5" customHeight="1">
      <c r="A23" s="1" t="s">
        <v>13</v>
      </c>
      <c r="B23" s="1" t="s">
        <v>263</v>
      </c>
    </row>
    <row r="24" spans="1:4" ht="28.5" customHeight="1">
      <c r="A24" s="1" t="s">
        <v>14</v>
      </c>
      <c r="B24" s="1" t="s">
        <v>263</v>
      </c>
    </row>
    <row r="25" spans="1:4" ht="28.5" customHeight="1">
      <c r="A25" s="1" t="s">
        <v>15</v>
      </c>
      <c r="B25" s="1" t="s">
        <v>263</v>
      </c>
    </row>
    <row r="26" spans="1:4" ht="28.5" customHeight="1">
      <c r="A26" s="1" t="s">
        <v>16</v>
      </c>
      <c r="B26" s="1" t="s">
        <v>263</v>
      </c>
    </row>
    <row r="27" spans="1:4" ht="28.5" customHeight="1">
      <c r="A27" s="1" t="s">
        <v>228</v>
      </c>
      <c r="B27" s="1" t="s">
        <v>263</v>
      </c>
    </row>
    <row r="28" spans="1:4" ht="28.5" customHeight="1">
      <c r="A28" s="1" t="s">
        <v>18</v>
      </c>
      <c r="B28" s="1" t="s">
        <v>263</v>
      </c>
    </row>
    <row r="29" spans="1:4" ht="28.5" customHeight="1">
      <c r="A29" s="1" t="s">
        <v>229</v>
      </c>
      <c r="B29" s="1" t="s">
        <v>263</v>
      </c>
      <c r="D29" s="1" t="s">
        <v>259</v>
      </c>
    </row>
    <row r="30" spans="1:4" ht="28.5" customHeight="1">
      <c r="A30" s="1" t="s">
        <v>230</v>
      </c>
      <c r="B30" s="1" t="s">
        <v>263</v>
      </c>
      <c r="D30" s="1" t="s">
        <v>259</v>
      </c>
    </row>
    <row r="31" spans="1:4" ht="28.5" customHeight="1">
      <c r="A31" s="1" t="s">
        <v>231</v>
      </c>
      <c r="B31" s="1" t="s">
        <v>263</v>
      </c>
    </row>
    <row r="32" spans="1:4" ht="28.5" customHeight="1">
      <c r="A32" s="1" t="s">
        <v>22</v>
      </c>
      <c r="B32" s="1" t="s">
        <v>263</v>
      </c>
    </row>
    <row r="33" spans="1:2" ht="28.5" customHeight="1">
      <c r="A33" s="1" t="s">
        <v>23</v>
      </c>
      <c r="B33" s="1" t="s">
        <v>263</v>
      </c>
    </row>
    <row r="110" spans="1:25" ht="28.5" customHeight="1">
      <c r="A110" s="1" t="s">
        <v>24</v>
      </c>
    </row>
    <row r="111" spans="1:25" ht="28.5" customHeight="1" thickBot="1"/>
    <row r="112" spans="1:25" ht="28.5" customHeight="1">
      <c r="A112" s="2" t="s">
        <v>73</v>
      </c>
      <c r="B112" s="3" t="s">
        <v>25</v>
      </c>
      <c r="C112" s="3"/>
      <c r="D112" s="3"/>
      <c r="E112" s="3" t="s">
        <v>26</v>
      </c>
      <c r="F112" s="3" t="s">
        <v>27</v>
      </c>
      <c r="G112" s="3" t="s">
        <v>4</v>
      </c>
      <c r="H112" s="3" t="s">
        <v>5</v>
      </c>
      <c r="I112" s="3"/>
      <c r="J112" s="3" t="s">
        <v>28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29</v>
      </c>
      <c r="Y112" s="4"/>
    </row>
    <row r="113" spans="1:25" ht="28.5" customHeight="1">
      <c r="A113" s="5"/>
      <c r="J113" s="1" t="s">
        <v>30</v>
      </c>
      <c r="Y113" s="6"/>
    </row>
    <row r="114" spans="1:25" ht="28.5" customHeight="1">
      <c r="A114" s="5"/>
      <c r="J114" s="1" t="s">
        <v>31</v>
      </c>
      <c r="Y114" s="6"/>
    </row>
    <row r="115" spans="1:25" ht="28.5" customHeight="1">
      <c r="A115" s="5"/>
      <c r="B115" s="1" t="s">
        <v>32</v>
      </c>
      <c r="C115" s="1" t="s">
        <v>33</v>
      </c>
      <c r="D115" s="1" t="s">
        <v>34</v>
      </c>
      <c r="E115" s="1" t="s">
        <v>2</v>
      </c>
      <c r="F115" s="1" t="s">
        <v>2</v>
      </c>
      <c r="G115" s="1" t="s">
        <v>35</v>
      </c>
      <c r="H115" s="1" t="s">
        <v>35</v>
      </c>
      <c r="J115" s="1" t="s">
        <v>36</v>
      </c>
      <c r="Y115" s="6"/>
    </row>
    <row r="116" spans="1:25" ht="28.5" customHeight="1">
      <c r="A116" s="5"/>
      <c r="C116" s="1" t="s">
        <v>37</v>
      </c>
      <c r="D116" s="1" t="s">
        <v>38</v>
      </c>
      <c r="E116" s="1" t="s">
        <v>39</v>
      </c>
      <c r="F116" s="1" t="s">
        <v>39</v>
      </c>
      <c r="G116" s="1" t="s">
        <v>39</v>
      </c>
      <c r="H116" s="1" t="s">
        <v>39</v>
      </c>
      <c r="Y116" s="6"/>
    </row>
    <row r="117" spans="1:25" ht="28.5" customHeight="1">
      <c r="A117" s="5"/>
      <c r="C117" s="1" t="s">
        <v>40</v>
      </c>
      <c r="D117" s="1" t="s">
        <v>41</v>
      </c>
      <c r="E117" s="1" t="s">
        <v>42</v>
      </c>
      <c r="F117" s="1" t="s">
        <v>42</v>
      </c>
      <c r="G117" s="1" t="s">
        <v>42</v>
      </c>
      <c r="H117" s="1" t="s">
        <v>42</v>
      </c>
      <c r="Y117" s="6"/>
    </row>
    <row r="118" spans="1:25" ht="28.5" customHeight="1">
      <c r="A118" s="5"/>
      <c r="C118" s="1" t="s">
        <v>43</v>
      </c>
      <c r="J118" s="1" t="s">
        <v>44</v>
      </c>
      <c r="L118" s="1" t="s">
        <v>45</v>
      </c>
      <c r="N118" s="1" t="s">
        <v>46</v>
      </c>
      <c r="P118" s="1" t="s">
        <v>173</v>
      </c>
      <c r="R118" s="1" t="s">
        <v>174</v>
      </c>
      <c r="T118" s="1" t="s">
        <v>47</v>
      </c>
      <c r="Y118" s="6"/>
    </row>
    <row r="119" spans="1:25" ht="28.5" customHeight="1">
      <c r="A119" s="5">
        <v>1</v>
      </c>
      <c r="C119" s="1" t="s">
        <v>202</v>
      </c>
      <c r="D119" s="1" t="s">
        <v>48</v>
      </c>
      <c r="E119" s="1">
        <v>6.93</v>
      </c>
      <c r="F119" s="1">
        <v>6.63</v>
      </c>
      <c r="G119" s="1">
        <v>2</v>
      </c>
      <c r="H119" s="1">
        <v>34</v>
      </c>
      <c r="J119" s="1">
        <v>4</v>
      </c>
      <c r="K119" s="1">
        <v>10</v>
      </c>
      <c r="L119" s="1">
        <v>2</v>
      </c>
      <c r="M119" s="1">
        <v>12</v>
      </c>
      <c r="N119" s="1">
        <v>7</v>
      </c>
      <c r="P119" s="1">
        <v>5</v>
      </c>
      <c r="Q119" s="1">
        <v>12</v>
      </c>
      <c r="R119" s="1">
        <v>12</v>
      </c>
      <c r="Y119" s="6"/>
    </row>
    <row r="120" spans="1:25" ht="28.5" customHeight="1">
      <c r="A120" s="5"/>
      <c r="C120" s="1" t="s">
        <v>203</v>
      </c>
      <c r="D120" s="1" t="s">
        <v>49</v>
      </c>
      <c r="E120" s="1">
        <v>53.51</v>
      </c>
      <c r="F120" s="1">
        <v>53.77</v>
      </c>
      <c r="G120" s="1">
        <v>34.58</v>
      </c>
      <c r="H120" s="1">
        <v>43.18</v>
      </c>
      <c r="J120" s="1">
        <v>3</v>
      </c>
      <c r="K120" s="1">
        <v>1</v>
      </c>
      <c r="L120" s="1">
        <v>5</v>
      </c>
      <c r="M120" s="1">
        <v>6</v>
      </c>
      <c r="N120" s="1">
        <v>4</v>
      </c>
      <c r="P120" s="1">
        <v>2</v>
      </c>
      <c r="Q120" s="1">
        <v>3</v>
      </c>
      <c r="R120" s="1">
        <v>1</v>
      </c>
      <c r="Y120" s="6"/>
    </row>
    <row r="121" spans="1:25" ht="28.5" customHeight="1">
      <c r="A121" s="5"/>
      <c r="C121" s="1" t="s">
        <v>175</v>
      </c>
      <c r="D121" s="1">
        <v>0.13</v>
      </c>
      <c r="E121" s="1">
        <v>74.56</v>
      </c>
      <c r="F121" s="1">
        <v>69.81</v>
      </c>
      <c r="G121" s="1">
        <v>45.79</v>
      </c>
      <c r="H121" s="1">
        <v>57.95</v>
      </c>
      <c r="J121" s="1">
        <v>0.02</v>
      </c>
      <c r="K121" s="1">
        <v>0.16</v>
      </c>
      <c r="L121" s="1">
        <v>0.1</v>
      </c>
      <c r="M121" s="1">
        <v>0.1</v>
      </c>
      <c r="N121" s="1">
        <v>7.0000000000000007E-2</v>
      </c>
      <c r="P121" s="1">
        <v>0.1</v>
      </c>
      <c r="Q121" s="1">
        <v>0.14000000000000001</v>
      </c>
      <c r="R121" s="1">
        <v>0.12</v>
      </c>
      <c r="Y121" s="6"/>
    </row>
    <row r="122" spans="1:25" ht="28.5" customHeight="1">
      <c r="A122" s="5"/>
      <c r="C122" s="1" t="s">
        <v>204</v>
      </c>
      <c r="J122" s="1">
        <v>1</v>
      </c>
      <c r="K122" s="1">
        <v>2</v>
      </c>
      <c r="L122" s="1">
        <v>1</v>
      </c>
      <c r="M122" s="1">
        <v>3</v>
      </c>
      <c r="N122" s="1">
        <v>2</v>
      </c>
      <c r="P122" s="1">
        <v>3</v>
      </c>
      <c r="Q122" s="1">
        <v>1</v>
      </c>
      <c r="R122" s="1">
        <v>1</v>
      </c>
      <c r="Y122" s="6"/>
    </row>
    <row r="123" spans="1:25" ht="28.5" customHeight="1">
      <c r="A123" s="5">
        <v>2</v>
      </c>
      <c r="C123" s="1" t="s">
        <v>205</v>
      </c>
      <c r="D123" s="1" t="s">
        <v>48</v>
      </c>
      <c r="E123" s="1">
        <v>5.78</v>
      </c>
      <c r="F123" s="1">
        <v>6.79</v>
      </c>
      <c r="G123" s="1">
        <v>26</v>
      </c>
      <c r="H123" s="1">
        <v>59</v>
      </c>
      <c r="J123" s="1">
        <v>9</v>
      </c>
      <c r="L123" s="1">
        <v>3</v>
      </c>
      <c r="M123" s="1">
        <v>7</v>
      </c>
      <c r="N123" s="1">
        <v>8</v>
      </c>
      <c r="P123" s="1">
        <v>6</v>
      </c>
      <c r="Q123" s="1">
        <v>12</v>
      </c>
      <c r="R123" s="1">
        <v>11</v>
      </c>
      <c r="Y123" s="6"/>
    </row>
    <row r="124" spans="1:25" ht="28.5" customHeight="1">
      <c r="A124" s="5"/>
      <c r="C124" s="1" t="s">
        <v>206</v>
      </c>
      <c r="D124" s="1" t="s">
        <v>49</v>
      </c>
      <c r="E124" s="1">
        <v>42.05</v>
      </c>
      <c r="F124" s="1">
        <v>52.38</v>
      </c>
      <c r="G124" s="1">
        <v>32.43</v>
      </c>
      <c r="H124" s="1">
        <v>36.049999999999997</v>
      </c>
      <c r="J124" s="1">
        <v>5</v>
      </c>
      <c r="L124" s="1">
        <v>3</v>
      </c>
      <c r="M124" s="1">
        <v>1</v>
      </c>
      <c r="N124" s="1">
        <v>2</v>
      </c>
      <c r="P124" s="1">
        <v>4</v>
      </c>
      <c r="Q124" s="1">
        <v>5</v>
      </c>
      <c r="R124" s="1">
        <v>1</v>
      </c>
      <c r="Y124" s="6"/>
    </row>
    <row r="125" spans="1:25" ht="28.5" customHeight="1">
      <c r="A125" s="5"/>
      <c r="C125" s="1" t="s">
        <v>175</v>
      </c>
      <c r="D125" s="1">
        <v>0.19</v>
      </c>
      <c r="E125" s="1">
        <v>61.36</v>
      </c>
      <c r="F125" s="1">
        <v>68.569999999999993</v>
      </c>
      <c r="G125" s="1">
        <v>55.86</v>
      </c>
      <c r="H125" s="1">
        <v>45.35</v>
      </c>
      <c r="J125" s="1">
        <v>0.13</v>
      </c>
      <c r="L125" s="1">
        <v>0.18</v>
      </c>
      <c r="M125" s="1">
        <v>0.28999999999999998</v>
      </c>
      <c r="N125" s="1">
        <v>0.2</v>
      </c>
      <c r="P125" s="1">
        <v>0.17</v>
      </c>
      <c r="Q125" s="1">
        <v>0.17</v>
      </c>
      <c r="R125" s="1">
        <v>7.0000000000000007E-2</v>
      </c>
      <c r="Y125" s="6"/>
    </row>
    <row r="126" spans="1:25" ht="28.5" customHeight="1">
      <c r="A126" s="5"/>
      <c r="C126" s="1" t="s">
        <v>199</v>
      </c>
      <c r="J126" s="1">
        <v>2</v>
      </c>
      <c r="L126" s="1">
        <v>1</v>
      </c>
      <c r="M126" s="1">
        <v>1</v>
      </c>
      <c r="N126" s="1">
        <v>2</v>
      </c>
      <c r="P126" s="1">
        <v>2</v>
      </c>
      <c r="Q126" s="1">
        <v>2</v>
      </c>
      <c r="R126" s="1">
        <v>1</v>
      </c>
      <c r="Y126" s="6"/>
    </row>
    <row r="127" spans="1:25" ht="28.5" customHeight="1">
      <c r="A127" s="5">
        <v>3</v>
      </c>
      <c r="C127" s="1" t="s">
        <v>207</v>
      </c>
      <c r="D127" s="1" t="s">
        <v>48</v>
      </c>
      <c r="E127" s="1">
        <v>6.21</v>
      </c>
      <c r="F127" s="1">
        <v>7.01</v>
      </c>
      <c r="G127" s="1">
        <v>62</v>
      </c>
      <c r="H127" s="1">
        <v>39</v>
      </c>
      <c r="J127" s="1">
        <v>8</v>
      </c>
      <c r="L127" s="1">
        <v>5</v>
      </c>
      <c r="M127" s="1">
        <v>12</v>
      </c>
      <c r="N127" s="1">
        <v>2</v>
      </c>
      <c r="O127" s="1">
        <v>11</v>
      </c>
      <c r="P127" s="1">
        <v>3</v>
      </c>
      <c r="Q127" s="1">
        <v>11</v>
      </c>
      <c r="R127" s="1">
        <v>10</v>
      </c>
      <c r="Y127" s="6"/>
    </row>
    <row r="128" spans="1:25" ht="28.5" customHeight="1">
      <c r="A128" s="5"/>
      <c r="C128" s="1" t="s">
        <v>208</v>
      </c>
      <c r="D128" s="1" t="s">
        <v>49</v>
      </c>
      <c r="E128" s="1">
        <v>36.049999999999997</v>
      </c>
      <c r="F128" s="1">
        <v>47.92</v>
      </c>
      <c r="G128" s="1">
        <v>32.93</v>
      </c>
      <c r="H128" s="1">
        <v>40.22</v>
      </c>
      <c r="J128" s="1">
        <v>4</v>
      </c>
      <c r="L128" s="1">
        <v>6</v>
      </c>
      <c r="M128" s="1">
        <v>2</v>
      </c>
      <c r="N128" s="1">
        <v>5</v>
      </c>
      <c r="O128" s="1">
        <v>1</v>
      </c>
      <c r="P128" s="1">
        <v>3</v>
      </c>
      <c r="Q128" s="1">
        <v>1</v>
      </c>
      <c r="R128" s="1">
        <v>1</v>
      </c>
      <c r="Y128" s="6"/>
    </row>
    <row r="129" spans="1:25" ht="28.5" customHeight="1">
      <c r="A129" s="5"/>
      <c r="C129" s="1" t="s">
        <v>198</v>
      </c>
      <c r="D129" s="1">
        <v>0.15</v>
      </c>
      <c r="E129" s="1">
        <v>50</v>
      </c>
      <c r="F129" s="1">
        <v>64.58</v>
      </c>
      <c r="G129" s="1">
        <v>47.56</v>
      </c>
      <c r="H129" s="1">
        <v>50</v>
      </c>
      <c r="J129" s="1">
        <v>0.16</v>
      </c>
      <c r="L129" s="1">
        <v>0.14000000000000001</v>
      </c>
      <c r="M129" s="1">
        <v>0.08</v>
      </c>
      <c r="N129" s="1">
        <v>0.16</v>
      </c>
      <c r="O129" s="1">
        <v>0.17</v>
      </c>
      <c r="P129" s="1">
        <v>0.11</v>
      </c>
      <c r="Q129" s="1">
        <v>0.17</v>
      </c>
      <c r="R129" s="1">
        <v>0.1</v>
      </c>
      <c r="Y129" s="6"/>
    </row>
    <row r="130" spans="1:25" ht="28.5" customHeight="1">
      <c r="A130" s="5"/>
      <c r="C130" s="1" t="s">
        <v>209</v>
      </c>
      <c r="J130" s="1">
        <v>3</v>
      </c>
      <c r="L130" s="1">
        <v>2</v>
      </c>
      <c r="M130" s="1">
        <v>5</v>
      </c>
      <c r="N130" s="1">
        <v>2</v>
      </c>
      <c r="O130" s="1">
        <v>1</v>
      </c>
      <c r="P130" s="1">
        <v>1</v>
      </c>
      <c r="Q130" s="1">
        <v>3</v>
      </c>
      <c r="R130" s="1">
        <v>1</v>
      </c>
      <c r="Y130" s="6"/>
    </row>
    <row r="131" spans="1:25" ht="28.5" customHeight="1">
      <c r="A131" s="5">
        <v>4</v>
      </c>
      <c r="C131" s="1" t="s">
        <v>210</v>
      </c>
      <c r="D131" s="1" t="s">
        <v>48</v>
      </c>
      <c r="E131" s="1">
        <v>6.53</v>
      </c>
      <c r="F131" s="1">
        <v>7.93</v>
      </c>
      <c r="G131" s="1">
        <v>23</v>
      </c>
      <c r="H131" s="1">
        <v>76</v>
      </c>
      <c r="J131" s="1">
        <v>4</v>
      </c>
      <c r="K131" s="1">
        <v>12</v>
      </c>
      <c r="L131" s="1">
        <v>6</v>
      </c>
      <c r="M131" s="1">
        <v>11</v>
      </c>
      <c r="N131" s="1">
        <v>5</v>
      </c>
      <c r="O131" s="1">
        <v>12</v>
      </c>
      <c r="P131" s="1">
        <v>11</v>
      </c>
      <c r="R131" s="1">
        <v>10</v>
      </c>
      <c r="Y131" s="6"/>
    </row>
    <row r="132" spans="1:25" ht="28.5" customHeight="1">
      <c r="A132" s="5"/>
      <c r="C132" s="1" t="s">
        <v>211</v>
      </c>
      <c r="D132" s="1" t="s">
        <v>49</v>
      </c>
      <c r="E132" s="1">
        <v>34.380000000000003</v>
      </c>
      <c r="F132" s="1">
        <v>54.39</v>
      </c>
      <c r="G132" s="1">
        <v>35</v>
      </c>
      <c r="H132" s="1">
        <v>31.03</v>
      </c>
      <c r="J132" s="1">
        <v>4</v>
      </c>
      <c r="K132" s="1">
        <v>2</v>
      </c>
      <c r="L132" s="1">
        <v>5</v>
      </c>
      <c r="M132" s="1">
        <v>3</v>
      </c>
      <c r="N132" s="1">
        <v>5</v>
      </c>
      <c r="O132" s="1">
        <v>1</v>
      </c>
      <c r="P132" s="1">
        <v>2</v>
      </c>
      <c r="R132" s="1">
        <v>2</v>
      </c>
      <c r="Y132" s="6"/>
    </row>
    <row r="133" spans="1:25" ht="28.5" customHeight="1">
      <c r="A133" s="5"/>
      <c r="C133" s="1" t="s">
        <v>175</v>
      </c>
      <c r="D133" s="1">
        <v>0.13</v>
      </c>
      <c r="E133" s="1">
        <v>54.17</v>
      </c>
      <c r="F133" s="1">
        <v>80.7</v>
      </c>
      <c r="G133" s="1">
        <v>52</v>
      </c>
      <c r="H133" s="1">
        <v>51.72</v>
      </c>
      <c r="J133" s="1">
        <v>0.04</v>
      </c>
      <c r="K133" s="1">
        <v>0.13</v>
      </c>
      <c r="L133" s="1">
        <v>0.15</v>
      </c>
      <c r="M133" s="1">
        <v>0.24</v>
      </c>
      <c r="N133" s="1">
        <v>0.11</v>
      </c>
      <c r="O133" s="1">
        <v>0.11</v>
      </c>
      <c r="P133" s="1">
        <v>7.0000000000000007E-2</v>
      </c>
      <c r="R133" s="1">
        <v>0.2</v>
      </c>
      <c r="Y133" s="6"/>
    </row>
    <row r="134" spans="1:25" ht="28.5" customHeight="1">
      <c r="A134" s="5"/>
      <c r="C134" s="1" t="s">
        <v>183</v>
      </c>
      <c r="J134" s="1">
        <v>3</v>
      </c>
      <c r="K134" s="1">
        <v>3</v>
      </c>
      <c r="L134" s="1">
        <v>3</v>
      </c>
      <c r="M134" s="1">
        <v>4</v>
      </c>
      <c r="N134" s="1">
        <v>3</v>
      </c>
      <c r="O134" s="1">
        <v>1</v>
      </c>
      <c r="P134" s="1">
        <v>1</v>
      </c>
      <c r="R134" s="1">
        <v>2</v>
      </c>
      <c r="Y134" s="6"/>
    </row>
    <row r="135" spans="1:25" ht="28.5" customHeight="1">
      <c r="A135" s="5">
        <v>5</v>
      </c>
      <c r="C135" s="1" t="s">
        <v>212</v>
      </c>
      <c r="D135" s="1" t="s">
        <v>48</v>
      </c>
      <c r="E135" s="1">
        <v>6.61</v>
      </c>
      <c r="F135" s="1">
        <v>6.51</v>
      </c>
      <c r="G135" s="1">
        <v>40</v>
      </c>
      <c r="H135" s="1">
        <v>47</v>
      </c>
      <c r="J135" s="1">
        <v>8</v>
      </c>
      <c r="K135" s="1">
        <v>12</v>
      </c>
      <c r="L135" s="1">
        <v>4</v>
      </c>
      <c r="M135" s="1">
        <v>10</v>
      </c>
      <c r="N135" s="1">
        <v>4</v>
      </c>
      <c r="O135" s="1">
        <v>8</v>
      </c>
      <c r="P135" s="1">
        <v>9</v>
      </c>
      <c r="R135" s="1">
        <v>11</v>
      </c>
      <c r="Y135" s="6"/>
    </row>
    <row r="136" spans="1:25" ht="28.5" customHeight="1">
      <c r="A136" s="5"/>
      <c r="C136" s="1" t="s">
        <v>213</v>
      </c>
      <c r="D136" s="1" t="s">
        <v>49</v>
      </c>
      <c r="E136" s="1">
        <v>44.53</v>
      </c>
      <c r="F136" s="1">
        <v>50</v>
      </c>
      <c r="G136" s="1">
        <v>40.21</v>
      </c>
      <c r="H136" s="1">
        <v>30.11</v>
      </c>
      <c r="J136" s="1">
        <v>5</v>
      </c>
      <c r="K136" s="1">
        <v>4</v>
      </c>
      <c r="L136" s="1">
        <v>3</v>
      </c>
      <c r="M136" s="1">
        <v>1</v>
      </c>
      <c r="N136" s="1">
        <v>2</v>
      </c>
      <c r="O136" s="1">
        <v>6</v>
      </c>
      <c r="P136" s="1">
        <v>3</v>
      </c>
      <c r="R136" s="1">
        <v>2</v>
      </c>
      <c r="Y136" s="6"/>
    </row>
    <row r="137" spans="1:25" ht="28.5" customHeight="1">
      <c r="A137" s="5"/>
      <c r="C137" s="1" t="s">
        <v>192</v>
      </c>
      <c r="D137" s="1">
        <v>0.13</v>
      </c>
      <c r="E137" s="1">
        <v>66.41</v>
      </c>
      <c r="F137" s="1">
        <v>63.77</v>
      </c>
      <c r="G137" s="1">
        <v>58.76</v>
      </c>
      <c r="H137" s="1">
        <v>45.16</v>
      </c>
      <c r="J137" s="1">
        <v>0.11</v>
      </c>
      <c r="K137" s="1">
        <v>0.13</v>
      </c>
      <c r="L137" s="1">
        <v>0.12</v>
      </c>
      <c r="M137" s="1">
        <v>0.11</v>
      </c>
      <c r="N137" s="1">
        <v>0.17</v>
      </c>
      <c r="O137" s="1">
        <v>0.12</v>
      </c>
      <c r="P137" s="1">
        <v>0.09</v>
      </c>
      <c r="R137" s="1">
        <v>0.09</v>
      </c>
      <c r="Y137" s="6"/>
    </row>
    <row r="138" spans="1:25" ht="28.5" customHeight="1">
      <c r="A138" s="5"/>
      <c r="C138" s="1" t="s">
        <v>196</v>
      </c>
      <c r="J138" s="1">
        <v>1</v>
      </c>
      <c r="K138" s="1">
        <v>6</v>
      </c>
      <c r="L138" s="1">
        <v>1</v>
      </c>
      <c r="M138" s="1">
        <v>1</v>
      </c>
      <c r="N138" s="1">
        <v>5</v>
      </c>
      <c r="O138" s="1">
        <v>4</v>
      </c>
      <c r="P138" s="1">
        <v>1</v>
      </c>
      <c r="R138" s="1">
        <v>2</v>
      </c>
      <c r="Y138" s="6"/>
    </row>
    <row r="139" spans="1:25" ht="28.5" customHeight="1">
      <c r="A139" s="5">
        <v>6</v>
      </c>
      <c r="C139" s="1" t="s">
        <v>214</v>
      </c>
      <c r="D139" s="1" t="s">
        <v>48</v>
      </c>
      <c r="E139" s="1">
        <v>6.22</v>
      </c>
      <c r="F139" s="1">
        <v>5.57</v>
      </c>
      <c r="G139" s="1">
        <v>24</v>
      </c>
      <c r="H139" s="1">
        <v>75</v>
      </c>
      <c r="J139" s="1">
        <v>6</v>
      </c>
      <c r="K139" s="1">
        <v>10</v>
      </c>
      <c r="L139" s="1">
        <v>1</v>
      </c>
      <c r="M139" s="1">
        <v>6</v>
      </c>
      <c r="N139" s="1">
        <v>7</v>
      </c>
      <c r="P139" s="1">
        <v>8</v>
      </c>
      <c r="R139" s="1">
        <v>12</v>
      </c>
      <c r="Y139" s="6"/>
    </row>
    <row r="140" spans="1:25" ht="28.5" customHeight="1">
      <c r="A140" s="5"/>
      <c r="C140" s="1" t="s">
        <v>215</v>
      </c>
      <c r="D140" s="1" t="s">
        <v>49</v>
      </c>
      <c r="E140" s="1">
        <v>45.65</v>
      </c>
      <c r="F140" s="1">
        <v>30.95</v>
      </c>
      <c r="G140" s="1">
        <v>41.58</v>
      </c>
      <c r="H140" s="1">
        <v>45.05</v>
      </c>
      <c r="J140" s="1">
        <v>1</v>
      </c>
      <c r="K140" s="1">
        <v>4</v>
      </c>
      <c r="L140" s="1">
        <v>6</v>
      </c>
      <c r="M140" s="1">
        <v>2</v>
      </c>
      <c r="N140" s="1">
        <v>3</v>
      </c>
      <c r="P140" s="1">
        <v>5</v>
      </c>
      <c r="R140" s="1">
        <v>6</v>
      </c>
      <c r="Y140" s="6"/>
    </row>
    <row r="141" spans="1:25" ht="28.5" customHeight="1">
      <c r="A141" s="5"/>
      <c r="C141" s="1" t="s">
        <v>175</v>
      </c>
      <c r="D141" s="1">
        <v>0.15</v>
      </c>
      <c r="E141" s="1">
        <v>66.3</v>
      </c>
      <c r="F141" s="1">
        <v>59.52</v>
      </c>
      <c r="G141" s="1">
        <v>55.45</v>
      </c>
      <c r="H141" s="1">
        <v>65.930000000000007</v>
      </c>
      <c r="J141" s="1">
        <v>0.2</v>
      </c>
      <c r="K141" s="1">
        <v>0.13</v>
      </c>
      <c r="L141" s="1">
        <v>0.19</v>
      </c>
      <c r="M141" s="1">
        <v>0.11</v>
      </c>
      <c r="N141" s="1">
        <v>0.09</v>
      </c>
      <c r="P141" s="1">
        <v>0.05</v>
      </c>
      <c r="R141" s="1">
        <v>7.0000000000000007E-2</v>
      </c>
      <c r="Y141" s="6"/>
    </row>
    <row r="142" spans="1:25" ht="28.5" customHeight="1">
      <c r="A142" s="5"/>
      <c r="C142" s="1" t="s">
        <v>216</v>
      </c>
      <c r="J142" s="1">
        <v>1</v>
      </c>
      <c r="K142" s="1">
        <v>4</v>
      </c>
      <c r="L142" s="1">
        <v>3</v>
      </c>
      <c r="M142" s="1">
        <v>5</v>
      </c>
      <c r="N142" s="1">
        <v>3</v>
      </c>
      <c r="P142" s="1">
        <v>2</v>
      </c>
      <c r="R142" s="1">
        <v>2</v>
      </c>
      <c r="Y142" s="6"/>
    </row>
    <row r="143" spans="1:25" ht="28.5" customHeight="1" thickBot="1">
      <c r="A143" s="7" t="s">
        <v>50</v>
      </c>
      <c r="B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</row>
    <row r="144" spans="1:25" ht="28.5" customHeight="1">
      <c r="A144" s="1" t="s">
        <v>158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656F-AC5E-4881-AD3C-F1A09ADDAB6C}">
  <sheetPr codeName="Sheet3"/>
  <dimension ref="A1:Y144"/>
  <sheetViews>
    <sheetView workbookViewId="0">
      <selection activeCell="J2" sqref="J2"/>
    </sheetView>
  </sheetViews>
  <sheetFormatPr defaultRowHeight="13.5"/>
  <cols>
    <col min="1" max="1" width="9" style="1"/>
    <col min="2" max="2" width="13.25" style="1" customWidth="1"/>
    <col min="3" max="7" width="9" style="1"/>
    <col min="8" max="8" width="22.75" style="1" bestFit="1" customWidth="1"/>
    <col min="9" max="9" width="10.5" style="1" bestFit="1" customWidth="1"/>
    <col min="10" max="16384" width="9" style="1"/>
  </cols>
  <sheetData>
    <row r="1" spans="1:20" s="10" customFormat="1" ht="27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228</v>
      </c>
      <c r="Q1" s="25" t="s">
        <v>18</v>
      </c>
      <c r="R1" s="25" t="s">
        <v>231</v>
      </c>
      <c r="S1" s="25" t="s">
        <v>22</v>
      </c>
      <c r="T1" s="16" t="s">
        <v>23</v>
      </c>
    </row>
    <row r="2" spans="1:20">
      <c r="A2" s="12">
        <v>1</v>
      </c>
      <c r="B2" s="11" t="s">
        <v>232</v>
      </c>
      <c r="C2" s="11">
        <v>6.93</v>
      </c>
      <c r="D2" s="11">
        <v>6.63</v>
      </c>
      <c r="E2" s="11">
        <v>34.58</v>
      </c>
      <c r="F2" s="11">
        <v>43.18</v>
      </c>
      <c r="G2" s="11">
        <v>0.13</v>
      </c>
      <c r="H2" s="11" t="s">
        <v>233</v>
      </c>
      <c r="I2" s="11" t="s">
        <v>234</v>
      </c>
      <c r="J2" s="11">
        <v>8.3159999999999989</v>
      </c>
      <c r="K2" s="11">
        <v>5</v>
      </c>
      <c r="L2" s="11">
        <v>2.3949999999999996</v>
      </c>
      <c r="M2" s="11">
        <v>4.5449999999999999</v>
      </c>
      <c r="N2" s="11">
        <v>4.0999999999999996</v>
      </c>
      <c r="O2" s="11">
        <v>13.315999999999999</v>
      </c>
      <c r="P2" s="11">
        <v>6.9399999999999995</v>
      </c>
      <c r="Q2" s="11">
        <v>4.0999999999999996</v>
      </c>
      <c r="R2" s="11" t="e">
        <v>#REF!</v>
      </c>
      <c r="S2" s="11" t="e">
        <v>#REF!</v>
      </c>
      <c r="T2" s="13" t="e">
        <v>#REF!</v>
      </c>
    </row>
    <row r="3" spans="1:20">
      <c r="A3" s="12">
        <v>2</v>
      </c>
      <c r="B3" s="11" t="s">
        <v>235</v>
      </c>
      <c r="C3" s="11">
        <v>5.78</v>
      </c>
      <c r="D3" s="11">
        <v>6.79</v>
      </c>
      <c r="E3" s="11">
        <v>32.43</v>
      </c>
      <c r="F3" s="11">
        <v>36.049999999999997</v>
      </c>
      <c r="G3" s="11">
        <v>0.19</v>
      </c>
      <c r="H3" s="11" t="s">
        <v>236</v>
      </c>
      <c r="I3" s="11" t="s">
        <v>234</v>
      </c>
      <c r="J3" s="11">
        <v>6.9359999999999999</v>
      </c>
      <c r="K3" s="11">
        <v>5</v>
      </c>
      <c r="L3" s="11">
        <v>1.8574999999999999</v>
      </c>
      <c r="M3" s="11">
        <v>2.7624999999999993</v>
      </c>
      <c r="N3" s="11">
        <v>2.2999999999999998</v>
      </c>
      <c r="O3" s="11">
        <v>11.936</v>
      </c>
      <c r="P3" s="11">
        <v>4.6199999999999992</v>
      </c>
      <c r="Q3" s="11">
        <v>2.2999999999999998</v>
      </c>
      <c r="R3" s="11" t="e">
        <v>#REF!</v>
      </c>
      <c r="S3" s="11" t="e">
        <v>#REF!</v>
      </c>
      <c r="T3" s="13" t="e">
        <v>#REF!</v>
      </c>
    </row>
    <row r="4" spans="1:20">
      <c r="A4" s="12">
        <v>3</v>
      </c>
      <c r="B4" s="11" t="s">
        <v>237</v>
      </c>
      <c r="C4" s="11">
        <v>6.21</v>
      </c>
      <c r="D4" s="11">
        <v>7.01</v>
      </c>
      <c r="E4" s="11">
        <v>32.93</v>
      </c>
      <c r="F4" s="11">
        <v>40.22</v>
      </c>
      <c r="G4" s="11">
        <v>0.15</v>
      </c>
      <c r="H4" s="11" t="s">
        <v>233</v>
      </c>
      <c r="I4" s="11" t="s">
        <v>234</v>
      </c>
      <c r="J4" s="11">
        <v>7.452</v>
      </c>
      <c r="K4" s="11">
        <v>5</v>
      </c>
      <c r="L4" s="11">
        <v>1.9824999999999999</v>
      </c>
      <c r="M4" s="11">
        <v>3.8049999999999997</v>
      </c>
      <c r="N4" s="11">
        <v>3.5</v>
      </c>
      <c r="O4" s="11">
        <v>12.452</v>
      </c>
      <c r="P4" s="11">
        <v>5.7874999999999996</v>
      </c>
      <c r="Q4" s="11">
        <v>3.5</v>
      </c>
      <c r="R4" s="11" t="e">
        <v>#REF!</v>
      </c>
      <c r="S4" s="11" t="e">
        <v>#REF!</v>
      </c>
      <c r="T4" s="13" t="e">
        <v>#REF!</v>
      </c>
    </row>
    <row r="5" spans="1:20">
      <c r="A5" s="12">
        <v>4</v>
      </c>
      <c r="B5" s="11" t="s">
        <v>238</v>
      </c>
      <c r="C5" s="11">
        <v>6.53</v>
      </c>
      <c r="D5" s="11">
        <v>7.93</v>
      </c>
      <c r="E5" s="11">
        <v>35</v>
      </c>
      <c r="F5" s="11">
        <v>31.03</v>
      </c>
      <c r="G5" s="11">
        <v>0.13</v>
      </c>
      <c r="H5" s="11" t="s">
        <v>233</v>
      </c>
      <c r="I5" s="11" t="s">
        <v>234</v>
      </c>
      <c r="J5" s="11">
        <v>7.8360000000000003</v>
      </c>
      <c r="K5" s="11">
        <v>5</v>
      </c>
      <c r="L5" s="11">
        <v>2.5</v>
      </c>
      <c r="M5" s="11">
        <v>1.5075000000000003</v>
      </c>
      <c r="N5" s="11">
        <v>4.0999999999999996</v>
      </c>
      <c r="O5" s="11">
        <v>12.836</v>
      </c>
      <c r="P5" s="11">
        <v>4.0075000000000003</v>
      </c>
      <c r="Q5" s="11">
        <v>4.0999999999999996</v>
      </c>
      <c r="R5" s="11" t="e">
        <v>#REF!</v>
      </c>
      <c r="S5" s="11" t="e">
        <v>#REF!</v>
      </c>
      <c r="T5" s="13" t="e">
        <v>#REF!</v>
      </c>
    </row>
    <row r="6" spans="1:20">
      <c r="A6" s="12">
        <v>5</v>
      </c>
      <c r="B6" s="11" t="s">
        <v>239</v>
      </c>
      <c r="C6" s="11">
        <v>6.61</v>
      </c>
      <c r="D6" s="11">
        <v>6.51</v>
      </c>
      <c r="E6" s="11">
        <v>40.21</v>
      </c>
      <c r="F6" s="11">
        <v>30.11</v>
      </c>
      <c r="G6" s="11">
        <v>0.13</v>
      </c>
      <c r="H6" s="11" t="s">
        <v>233</v>
      </c>
      <c r="I6" s="11" t="s">
        <v>234</v>
      </c>
      <c r="J6" s="11">
        <v>7.9320000000000004</v>
      </c>
      <c r="K6" s="11">
        <v>5</v>
      </c>
      <c r="L6" s="11">
        <v>3.8025000000000002</v>
      </c>
      <c r="M6" s="11">
        <v>1.2774999999999999</v>
      </c>
      <c r="N6" s="11">
        <v>4.0999999999999996</v>
      </c>
      <c r="O6" s="11">
        <v>12.932</v>
      </c>
      <c r="P6" s="11">
        <v>5.08</v>
      </c>
      <c r="Q6" s="11">
        <v>4.0999999999999996</v>
      </c>
      <c r="R6" s="11" t="e">
        <v>#REF!</v>
      </c>
      <c r="S6" s="11" t="e">
        <v>#REF!</v>
      </c>
      <c r="T6" s="13" t="e">
        <v>#REF!</v>
      </c>
    </row>
    <row r="7" spans="1:20" ht="14.25" thickBot="1">
      <c r="A7" s="14">
        <v>6</v>
      </c>
      <c r="B7" s="26" t="s">
        <v>240</v>
      </c>
      <c r="C7" s="26">
        <v>6.22</v>
      </c>
      <c r="D7" s="26">
        <v>5.57</v>
      </c>
      <c r="E7" s="26">
        <v>41.58</v>
      </c>
      <c r="F7" s="26">
        <v>45.05</v>
      </c>
      <c r="G7" s="26">
        <v>0.15</v>
      </c>
      <c r="H7" s="26" t="s">
        <v>236</v>
      </c>
      <c r="I7" s="26" t="s">
        <v>234</v>
      </c>
      <c r="J7" s="26">
        <v>7.4639999999999995</v>
      </c>
      <c r="K7" s="26">
        <v>3.1400000000000006</v>
      </c>
      <c r="L7" s="26">
        <v>4.1449999999999996</v>
      </c>
      <c r="M7" s="26">
        <v>5</v>
      </c>
      <c r="N7" s="26">
        <v>3.5</v>
      </c>
      <c r="O7" s="26">
        <v>10.603999999999999</v>
      </c>
      <c r="P7" s="26">
        <v>9.1449999999999996</v>
      </c>
      <c r="Q7" s="26">
        <v>3.5</v>
      </c>
      <c r="R7" s="26" t="e">
        <v>#REF!</v>
      </c>
      <c r="S7" s="26" t="e">
        <v>#REF!</v>
      </c>
      <c r="T7" s="15" t="e">
        <v>#REF!</v>
      </c>
    </row>
    <row r="9" spans="1:20">
      <c r="A9" s="1" t="s">
        <v>226</v>
      </c>
    </row>
    <row r="10" spans="1:20">
      <c r="A10" s="1" t="s">
        <v>0</v>
      </c>
      <c r="B10" s="1" t="s">
        <v>241</v>
      </c>
      <c r="C10" s="1" t="s">
        <v>243</v>
      </c>
    </row>
    <row r="11" spans="1:20">
      <c r="A11" s="1" t="s">
        <v>1</v>
      </c>
      <c r="B11" s="1" t="s">
        <v>241</v>
      </c>
      <c r="C11" s="1" t="s">
        <v>244</v>
      </c>
    </row>
    <row r="12" spans="1:20">
      <c r="A12" s="1" t="s">
        <v>2</v>
      </c>
      <c r="B12" s="1" t="s">
        <v>245</v>
      </c>
      <c r="C12" s="101" t="s">
        <v>246</v>
      </c>
    </row>
    <row r="13" spans="1:20">
      <c r="A13" s="1" t="s">
        <v>3</v>
      </c>
      <c r="B13" s="1" t="s">
        <v>245</v>
      </c>
      <c r="C13" s="101" t="s">
        <v>247</v>
      </c>
    </row>
    <row r="14" spans="1:20">
      <c r="A14" s="1" t="s">
        <v>4</v>
      </c>
      <c r="B14" s="101" t="s">
        <v>264</v>
      </c>
      <c r="C14" s="101" t="s">
        <v>248</v>
      </c>
    </row>
    <row r="15" spans="1:20">
      <c r="A15" s="1" t="s">
        <v>5</v>
      </c>
      <c r="B15" s="101" t="s">
        <v>264</v>
      </c>
      <c r="C15" s="101" t="s">
        <v>249</v>
      </c>
    </row>
    <row r="16" spans="1:20">
      <c r="A16" s="1" t="s">
        <v>6</v>
      </c>
      <c r="B16" s="1" t="s">
        <v>252</v>
      </c>
      <c r="C16" s="1" t="s">
        <v>255</v>
      </c>
      <c r="D16" s="101" t="s">
        <v>257</v>
      </c>
    </row>
    <row r="17" spans="1:4">
      <c r="A17" s="1" t="s">
        <v>7</v>
      </c>
      <c r="B17" s="1" t="s">
        <v>251</v>
      </c>
      <c r="C17" s="1" t="s">
        <v>251</v>
      </c>
      <c r="D17" s="1" t="s">
        <v>259</v>
      </c>
    </row>
    <row r="18" spans="1:4">
      <c r="A18" s="1" t="s">
        <v>227</v>
      </c>
      <c r="B18" s="1" t="s">
        <v>251</v>
      </c>
      <c r="C18" s="1" t="s">
        <v>251</v>
      </c>
      <c r="D18" s="1" t="s">
        <v>261</v>
      </c>
    </row>
    <row r="19" spans="1:4">
      <c r="A19" s="1" t="s">
        <v>9</v>
      </c>
      <c r="B19" s="1" t="s">
        <v>252</v>
      </c>
      <c r="C19" s="1" t="s">
        <v>254</v>
      </c>
      <c r="D19" s="101" t="s">
        <v>257</v>
      </c>
    </row>
    <row r="20" spans="1:4">
      <c r="A20" s="1" t="s">
        <v>10</v>
      </c>
      <c r="B20" s="1" t="s">
        <v>252</v>
      </c>
      <c r="C20" s="1" t="s">
        <v>256</v>
      </c>
      <c r="D20" s="101" t="s">
        <v>257</v>
      </c>
    </row>
    <row r="21" spans="1:4">
      <c r="A21" s="1" t="s">
        <v>11</v>
      </c>
      <c r="B21" s="1" t="s">
        <v>263</v>
      </c>
    </row>
    <row r="22" spans="1:4">
      <c r="A22" s="1" t="s">
        <v>12</v>
      </c>
      <c r="B22" s="1" t="s">
        <v>263</v>
      </c>
    </row>
    <row r="23" spans="1:4">
      <c r="A23" s="1" t="s">
        <v>13</v>
      </c>
      <c r="B23" s="1" t="s">
        <v>263</v>
      </c>
    </row>
    <row r="24" spans="1:4">
      <c r="A24" s="1" t="s">
        <v>14</v>
      </c>
      <c r="B24" s="1" t="s">
        <v>263</v>
      </c>
    </row>
    <row r="25" spans="1:4">
      <c r="A25" s="1" t="s">
        <v>15</v>
      </c>
      <c r="B25" s="1" t="s">
        <v>263</v>
      </c>
    </row>
    <row r="26" spans="1:4">
      <c r="A26" s="1" t="s">
        <v>16</v>
      </c>
      <c r="B26" s="1" t="s">
        <v>263</v>
      </c>
    </row>
    <row r="27" spans="1:4">
      <c r="A27" s="1" t="s">
        <v>228</v>
      </c>
      <c r="B27" s="1" t="s">
        <v>263</v>
      </c>
    </row>
    <row r="28" spans="1:4">
      <c r="A28" s="1" t="s">
        <v>18</v>
      </c>
      <c r="B28" s="1" t="s">
        <v>263</v>
      </c>
    </row>
    <row r="29" spans="1:4">
      <c r="A29" s="1" t="s">
        <v>229</v>
      </c>
      <c r="B29" s="1" t="s">
        <v>263</v>
      </c>
      <c r="D29" s="1" t="s">
        <v>259</v>
      </c>
    </row>
    <row r="30" spans="1:4">
      <c r="A30" s="1" t="s">
        <v>230</v>
      </c>
      <c r="B30" s="1" t="s">
        <v>263</v>
      </c>
      <c r="D30" s="1" t="s">
        <v>259</v>
      </c>
    </row>
    <row r="31" spans="1:4">
      <c r="A31" s="1" t="s">
        <v>231</v>
      </c>
      <c r="B31" s="1" t="s">
        <v>263</v>
      </c>
    </row>
    <row r="32" spans="1:4">
      <c r="A32" s="1" t="s">
        <v>22</v>
      </c>
      <c r="B32" s="1" t="s">
        <v>263</v>
      </c>
    </row>
    <row r="33" spans="1:2">
      <c r="A33" s="1" t="s">
        <v>23</v>
      </c>
      <c r="B33" s="1" t="s">
        <v>263</v>
      </c>
    </row>
    <row r="110" spans="1:25">
      <c r="A110" s="1" t="s">
        <v>24</v>
      </c>
    </row>
    <row r="111" spans="1:25" ht="14.25" thickBot="1"/>
    <row r="112" spans="1:25">
      <c r="A112" s="2" t="s">
        <v>73</v>
      </c>
      <c r="B112" s="3" t="s">
        <v>25</v>
      </c>
      <c r="C112" s="3"/>
      <c r="D112" s="3"/>
      <c r="E112" s="3" t="s">
        <v>26</v>
      </c>
      <c r="F112" s="3" t="s">
        <v>27</v>
      </c>
      <c r="G112" s="3" t="s">
        <v>4</v>
      </c>
      <c r="H112" s="3" t="s">
        <v>5</v>
      </c>
      <c r="I112" s="3"/>
      <c r="J112" s="3" t="s">
        <v>28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29</v>
      </c>
      <c r="Y112" s="4"/>
    </row>
    <row r="113" spans="1:25">
      <c r="A113" s="5"/>
      <c r="J113" s="1" t="s">
        <v>30</v>
      </c>
      <c r="Y113" s="6"/>
    </row>
    <row r="114" spans="1:25">
      <c r="A114" s="5"/>
      <c r="J114" s="1" t="s">
        <v>31</v>
      </c>
      <c r="Y114" s="6"/>
    </row>
    <row r="115" spans="1:25">
      <c r="A115" s="5"/>
      <c r="B115" s="1" t="s">
        <v>32</v>
      </c>
      <c r="C115" s="1" t="s">
        <v>33</v>
      </c>
      <c r="D115" s="1" t="s">
        <v>34</v>
      </c>
      <c r="E115" s="1" t="s">
        <v>2</v>
      </c>
      <c r="F115" s="1" t="s">
        <v>2</v>
      </c>
      <c r="G115" s="1" t="s">
        <v>35</v>
      </c>
      <c r="H115" s="1" t="s">
        <v>35</v>
      </c>
      <c r="J115" s="1" t="s">
        <v>36</v>
      </c>
      <c r="Y115" s="6"/>
    </row>
    <row r="116" spans="1:25">
      <c r="A116" s="5"/>
      <c r="C116" s="1" t="s">
        <v>37</v>
      </c>
      <c r="D116" s="1" t="s">
        <v>38</v>
      </c>
      <c r="E116" s="1" t="s">
        <v>39</v>
      </c>
      <c r="F116" s="1" t="s">
        <v>39</v>
      </c>
      <c r="G116" s="1" t="s">
        <v>39</v>
      </c>
      <c r="H116" s="1" t="s">
        <v>39</v>
      </c>
      <c r="Y116" s="6"/>
    </row>
    <row r="117" spans="1:25">
      <c r="A117" s="5"/>
      <c r="C117" s="1" t="s">
        <v>40</v>
      </c>
      <c r="D117" s="1" t="s">
        <v>41</v>
      </c>
      <c r="E117" s="1" t="s">
        <v>42</v>
      </c>
      <c r="F117" s="1" t="s">
        <v>42</v>
      </c>
      <c r="G117" s="1" t="s">
        <v>42</v>
      </c>
      <c r="H117" s="1" t="s">
        <v>42</v>
      </c>
      <c r="Y117" s="6"/>
    </row>
    <row r="118" spans="1:25">
      <c r="A118" s="5"/>
      <c r="C118" s="1" t="s">
        <v>43</v>
      </c>
      <c r="J118" s="1" t="s">
        <v>44</v>
      </c>
      <c r="L118" s="1" t="s">
        <v>45</v>
      </c>
      <c r="N118" s="1" t="s">
        <v>46</v>
      </c>
      <c r="P118" s="1" t="s">
        <v>173</v>
      </c>
      <c r="R118" s="1" t="s">
        <v>174</v>
      </c>
      <c r="T118" s="1" t="s">
        <v>47</v>
      </c>
      <c r="Y118" s="6"/>
    </row>
    <row r="119" spans="1:25">
      <c r="A119" s="5">
        <v>1</v>
      </c>
      <c r="C119" s="1" t="s">
        <v>202</v>
      </c>
      <c r="D119" s="1" t="s">
        <v>48</v>
      </c>
      <c r="E119" s="1">
        <v>6.93</v>
      </c>
      <c r="F119" s="1">
        <v>6.63</v>
      </c>
      <c r="G119" s="1">
        <v>2</v>
      </c>
      <c r="H119" s="1">
        <v>34</v>
      </c>
      <c r="J119" s="1">
        <v>4</v>
      </c>
      <c r="K119" s="1">
        <v>10</v>
      </c>
      <c r="L119" s="1">
        <v>2</v>
      </c>
      <c r="M119" s="1">
        <v>12</v>
      </c>
      <c r="N119" s="1">
        <v>7</v>
      </c>
      <c r="P119" s="1">
        <v>5</v>
      </c>
      <c r="Q119" s="1">
        <v>12</v>
      </c>
      <c r="R119" s="1">
        <v>12</v>
      </c>
      <c r="Y119" s="6"/>
    </row>
    <row r="120" spans="1:25">
      <c r="A120" s="5"/>
      <c r="C120" s="1" t="s">
        <v>203</v>
      </c>
      <c r="D120" s="1" t="s">
        <v>49</v>
      </c>
      <c r="E120" s="1">
        <v>53.51</v>
      </c>
      <c r="F120" s="1">
        <v>53.77</v>
      </c>
      <c r="G120" s="1">
        <v>34.58</v>
      </c>
      <c r="H120" s="1">
        <v>43.18</v>
      </c>
      <c r="J120" s="1">
        <v>3</v>
      </c>
      <c r="K120" s="1">
        <v>1</v>
      </c>
      <c r="L120" s="1">
        <v>5</v>
      </c>
      <c r="M120" s="1">
        <v>6</v>
      </c>
      <c r="N120" s="1">
        <v>4</v>
      </c>
      <c r="P120" s="1">
        <v>2</v>
      </c>
      <c r="Q120" s="1">
        <v>3</v>
      </c>
      <c r="R120" s="1">
        <v>1</v>
      </c>
      <c r="Y120" s="6"/>
    </row>
    <row r="121" spans="1:25">
      <c r="A121" s="5"/>
      <c r="C121" s="1" t="s">
        <v>175</v>
      </c>
      <c r="D121" s="1">
        <v>0.13</v>
      </c>
      <c r="E121" s="1">
        <v>74.56</v>
      </c>
      <c r="F121" s="1">
        <v>69.81</v>
      </c>
      <c r="G121" s="1">
        <v>45.79</v>
      </c>
      <c r="H121" s="1">
        <v>57.95</v>
      </c>
      <c r="J121" s="1">
        <v>0.02</v>
      </c>
      <c r="K121" s="1">
        <v>0.16</v>
      </c>
      <c r="L121" s="1">
        <v>0.1</v>
      </c>
      <c r="M121" s="1">
        <v>0.1</v>
      </c>
      <c r="N121" s="1">
        <v>7.0000000000000007E-2</v>
      </c>
      <c r="P121" s="1">
        <v>0.1</v>
      </c>
      <c r="Q121" s="1">
        <v>0.14000000000000001</v>
      </c>
      <c r="R121" s="1">
        <v>0.12</v>
      </c>
      <c r="Y121" s="6"/>
    </row>
    <row r="122" spans="1:25">
      <c r="A122" s="5"/>
      <c r="C122" s="1" t="s">
        <v>204</v>
      </c>
      <c r="J122" s="1">
        <v>1</v>
      </c>
      <c r="K122" s="1">
        <v>2</v>
      </c>
      <c r="L122" s="1">
        <v>1</v>
      </c>
      <c r="M122" s="1">
        <v>3</v>
      </c>
      <c r="N122" s="1">
        <v>2</v>
      </c>
      <c r="P122" s="1">
        <v>3</v>
      </c>
      <c r="Q122" s="1">
        <v>1</v>
      </c>
      <c r="R122" s="1">
        <v>1</v>
      </c>
      <c r="Y122" s="6"/>
    </row>
    <row r="123" spans="1:25">
      <c r="A123" s="5">
        <v>2</v>
      </c>
      <c r="C123" s="1" t="s">
        <v>205</v>
      </c>
      <c r="D123" s="1" t="s">
        <v>48</v>
      </c>
      <c r="E123" s="1">
        <v>5.78</v>
      </c>
      <c r="F123" s="1">
        <v>6.79</v>
      </c>
      <c r="G123" s="1">
        <v>26</v>
      </c>
      <c r="H123" s="1">
        <v>59</v>
      </c>
      <c r="J123" s="1">
        <v>9</v>
      </c>
      <c r="L123" s="1">
        <v>3</v>
      </c>
      <c r="M123" s="1">
        <v>7</v>
      </c>
      <c r="N123" s="1">
        <v>8</v>
      </c>
      <c r="P123" s="1">
        <v>6</v>
      </c>
      <c r="Q123" s="1">
        <v>12</v>
      </c>
      <c r="R123" s="1">
        <v>11</v>
      </c>
      <c r="Y123" s="6"/>
    </row>
    <row r="124" spans="1:25">
      <c r="A124" s="5"/>
      <c r="C124" s="1" t="s">
        <v>206</v>
      </c>
      <c r="D124" s="1" t="s">
        <v>49</v>
      </c>
      <c r="E124" s="1">
        <v>42.05</v>
      </c>
      <c r="F124" s="1">
        <v>52.38</v>
      </c>
      <c r="G124" s="1">
        <v>32.43</v>
      </c>
      <c r="H124" s="1">
        <v>36.049999999999997</v>
      </c>
      <c r="J124" s="1">
        <v>5</v>
      </c>
      <c r="L124" s="1">
        <v>3</v>
      </c>
      <c r="M124" s="1">
        <v>1</v>
      </c>
      <c r="N124" s="1">
        <v>2</v>
      </c>
      <c r="P124" s="1">
        <v>4</v>
      </c>
      <c r="Q124" s="1">
        <v>5</v>
      </c>
      <c r="R124" s="1">
        <v>1</v>
      </c>
      <c r="Y124" s="6"/>
    </row>
    <row r="125" spans="1:25">
      <c r="A125" s="5"/>
      <c r="C125" s="1" t="s">
        <v>175</v>
      </c>
      <c r="D125" s="1">
        <v>0.19</v>
      </c>
      <c r="E125" s="1">
        <v>61.36</v>
      </c>
      <c r="F125" s="1">
        <v>68.569999999999993</v>
      </c>
      <c r="G125" s="1">
        <v>55.86</v>
      </c>
      <c r="H125" s="1">
        <v>45.35</v>
      </c>
      <c r="J125" s="1">
        <v>0.13</v>
      </c>
      <c r="L125" s="1">
        <v>0.18</v>
      </c>
      <c r="M125" s="1">
        <v>0.28999999999999998</v>
      </c>
      <c r="N125" s="1">
        <v>0.2</v>
      </c>
      <c r="P125" s="1">
        <v>0.17</v>
      </c>
      <c r="Q125" s="1">
        <v>0.17</v>
      </c>
      <c r="R125" s="1">
        <v>7.0000000000000007E-2</v>
      </c>
      <c r="Y125" s="6"/>
    </row>
    <row r="126" spans="1:25">
      <c r="A126" s="5"/>
      <c r="C126" s="1" t="s">
        <v>199</v>
      </c>
      <c r="J126" s="1">
        <v>2</v>
      </c>
      <c r="L126" s="1">
        <v>1</v>
      </c>
      <c r="M126" s="1">
        <v>1</v>
      </c>
      <c r="N126" s="1">
        <v>2</v>
      </c>
      <c r="P126" s="1">
        <v>2</v>
      </c>
      <c r="Q126" s="1">
        <v>2</v>
      </c>
      <c r="R126" s="1">
        <v>1</v>
      </c>
      <c r="Y126" s="6"/>
    </row>
    <row r="127" spans="1:25">
      <c r="A127" s="5">
        <v>3</v>
      </c>
      <c r="C127" s="1" t="s">
        <v>207</v>
      </c>
      <c r="D127" s="1" t="s">
        <v>48</v>
      </c>
      <c r="E127" s="1">
        <v>6.21</v>
      </c>
      <c r="F127" s="1">
        <v>7.01</v>
      </c>
      <c r="G127" s="1">
        <v>62</v>
      </c>
      <c r="H127" s="1">
        <v>39</v>
      </c>
      <c r="J127" s="1">
        <v>8</v>
      </c>
      <c r="L127" s="1">
        <v>5</v>
      </c>
      <c r="M127" s="1">
        <v>12</v>
      </c>
      <c r="N127" s="1">
        <v>2</v>
      </c>
      <c r="O127" s="1">
        <v>11</v>
      </c>
      <c r="P127" s="1">
        <v>3</v>
      </c>
      <c r="Q127" s="1">
        <v>11</v>
      </c>
      <c r="R127" s="1">
        <v>10</v>
      </c>
      <c r="Y127" s="6"/>
    </row>
    <row r="128" spans="1:25">
      <c r="A128" s="5"/>
      <c r="C128" s="1" t="s">
        <v>208</v>
      </c>
      <c r="D128" s="1" t="s">
        <v>49</v>
      </c>
      <c r="E128" s="1">
        <v>36.049999999999997</v>
      </c>
      <c r="F128" s="1">
        <v>47.92</v>
      </c>
      <c r="G128" s="1">
        <v>32.93</v>
      </c>
      <c r="H128" s="1">
        <v>40.22</v>
      </c>
      <c r="J128" s="1">
        <v>4</v>
      </c>
      <c r="L128" s="1">
        <v>6</v>
      </c>
      <c r="M128" s="1">
        <v>2</v>
      </c>
      <c r="N128" s="1">
        <v>5</v>
      </c>
      <c r="O128" s="1">
        <v>1</v>
      </c>
      <c r="P128" s="1">
        <v>3</v>
      </c>
      <c r="Q128" s="1">
        <v>1</v>
      </c>
      <c r="R128" s="1">
        <v>1</v>
      </c>
      <c r="Y128" s="6"/>
    </row>
    <row r="129" spans="1:25">
      <c r="A129" s="5"/>
      <c r="C129" s="1" t="s">
        <v>198</v>
      </c>
      <c r="D129" s="1">
        <v>0.15</v>
      </c>
      <c r="E129" s="1">
        <v>50</v>
      </c>
      <c r="F129" s="1">
        <v>64.58</v>
      </c>
      <c r="G129" s="1">
        <v>47.56</v>
      </c>
      <c r="H129" s="1">
        <v>50</v>
      </c>
      <c r="J129" s="1">
        <v>0.16</v>
      </c>
      <c r="L129" s="1">
        <v>0.14000000000000001</v>
      </c>
      <c r="M129" s="1">
        <v>0.08</v>
      </c>
      <c r="N129" s="1">
        <v>0.16</v>
      </c>
      <c r="O129" s="1">
        <v>0.17</v>
      </c>
      <c r="P129" s="1">
        <v>0.11</v>
      </c>
      <c r="Q129" s="1">
        <v>0.17</v>
      </c>
      <c r="R129" s="1">
        <v>0.1</v>
      </c>
      <c r="Y129" s="6"/>
    </row>
    <row r="130" spans="1:25">
      <c r="A130" s="5"/>
      <c r="C130" s="1" t="s">
        <v>209</v>
      </c>
      <c r="J130" s="1">
        <v>3</v>
      </c>
      <c r="L130" s="1">
        <v>2</v>
      </c>
      <c r="M130" s="1">
        <v>5</v>
      </c>
      <c r="N130" s="1">
        <v>2</v>
      </c>
      <c r="O130" s="1">
        <v>1</v>
      </c>
      <c r="P130" s="1">
        <v>1</v>
      </c>
      <c r="Q130" s="1">
        <v>3</v>
      </c>
      <c r="R130" s="1">
        <v>1</v>
      </c>
      <c r="Y130" s="6"/>
    </row>
    <row r="131" spans="1:25">
      <c r="A131" s="5">
        <v>4</v>
      </c>
      <c r="C131" s="1" t="s">
        <v>210</v>
      </c>
      <c r="D131" s="1" t="s">
        <v>48</v>
      </c>
      <c r="E131" s="1">
        <v>6.53</v>
      </c>
      <c r="F131" s="1">
        <v>7.93</v>
      </c>
      <c r="G131" s="1">
        <v>23</v>
      </c>
      <c r="H131" s="1">
        <v>76</v>
      </c>
      <c r="J131" s="1">
        <v>4</v>
      </c>
      <c r="K131" s="1">
        <v>12</v>
      </c>
      <c r="L131" s="1">
        <v>6</v>
      </c>
      <c r="M131" s="1">
        <v>11</v>
      </c>
      <c r="N131" s="1">
        <v>5</v>
      </c>
      <c r="O131" s="1">
        <v>12</v>
      </c>
      <c r="P131" s="1">
        <v>11</v>
      </c>
      <c r="R131" s="1">
        <v>10</v>
      </c>
      <c r="Y131" s="6"/>
    </row>
    <row r="132" spans="1:25">
      <c r="A132" s="5"/>
      <c r="C132" s="1" t="s">
        <v>211</v>
      </c>
      <c r="D132" s="1" t="s">
        <v>49</v>
      </c>
      <c r="E132" s="1">
        <v>34.380000000000003</v>
      </c>
      <c r="F132" s="1">
        <v>54.39</v>
      </c>
      <c r="G132" s="1">
        <v>35</v>
      </c>
      <c r="H132" s="1">
        <v>31.03</v>
      </c>
      <c r="J132" s="1">
        <v>4</v>
      </c>
      <c r="K132" s="1">
        <v>2</v>
      </c>
      <c r="L132" s="1">
        <v>5</v>
      </c>
      <c r="M132" s="1">
        <v>3</v>
      </c>
      <c r="N132" s="1">
        <v>5</v>
      </c>
      <c r="O132" s="1">
        <v>1</v>
      </c>
      <c r="P132" s="1">
        <v>2</v>
      </c>
      <c r="R132" s="1">
        <v>2</v>
      </c>
      <c r="Y132" s="6"/>
    </row>
    <row r="133" spans="1:25">
      <c r="A133" s="5"/>
      <c r="C133" s="1" t="s">
        <v>175</v>
      </c>
      <c r="D133" s="1">
        <v>0.13</v>
      </c>
      <c r="E133" s="1">
        <v>54.17</v>
      </c>
      <c r="F133" s="1">
        <v>80.7</v>
      </c>
      <c r="G133" s="1">
        <v>52</v>
      </c>
      <c r="H133" s="1">
        <v>51.72</v>
      </c>
      <c r="J133" s="1">
        <v>0.04</v>
      </c>
      <c r="K133" s="1">
        <v>0.13</v>
      </c>
      <c r="L133" s="1">
        <v>0.15</v>
      </c>
      <c r="M133" s="1">
        <v>0.24</v>
      </c>
      <c r="N133" s="1">
        <v>0.11</v>
      </c>
      <c r="O133" s="1">
        <v>0.11</v>
      </c>
      <c r="P133" s="1">
        <v>7.0000000000000007E-2</v>
      </c>
      <c r="R133" s="1">
        <v>0.2</v>
      </c>
      <c r="Y133" s="6"/>
    </row>
    <row r="134" spans="1:25">
      <c r="A134" s="5"/>
      <c r="C134" s="1" t="s">
        <v>183</v>
      </c>
      <c r="J134" s="1">
        <v>3</v>
      </c>
      <c r="K134" s="1">
        <v>3</v>
      </c>
      <c r="L134" s="1">
        <v>3</v>
      </c>
      <c r="M134" s="1">
        <v>4</v>
      </c>
      <c r="N134" s="1">
        <v>3</v>
      </c>
      <c r="O134" s="1">
        <v>1</v>
      </c>
      <c r="P134" s="1">
        <v>1</v>
      </c>
      <c r="R134" s="1">
        <v>2</v>
      </c>
      <c r="Y134" s="6"/>
    </row>
    <row r="135" spans="1:25">
      <c r="A135" s="5">
        <v>5</v>
      </c>
      <c r="C135" s="1" t="s">
        <v>212</v>
      </c>
      <c r="D135" s="1" t="s">
        <v>48</v>
      </c>
      <c r="E135" s="1">
        <v>6.61</v>
      </c>
      <c r="F135" s="1">
        <v>6.51</v>
      </c>
      <c r="G135" s="1">
        <v>40</v>
      </c>
      <c r="H135" s="1">
        <v>47</v>
      </c>
      <c r="J135" s="1">
        <v>8</v>
      </c>
      <c r="K135" s="1">
        <v>12</v>
      </c>
      <c r="L135" s="1">
        <v>4</v>
      </c>
      <c r="M135" s="1">
        <v>10</v>
      </c>
      <c r="N135" s="1">
        <v>4</v>
      </c>
      <c r="O135" s="1">
        <v>8</v>
      </c>
      <c r="P135" s="1">
        <v>9</v>
      </c>
      <c r="R135" s="1">
        <v>11</v>
      </c>
      <c r="Y135" s="6"/>
    </row>
    <row r="136" spans="1:25">
      <c r="A136" s="5"/>
      <c r="C136" s="1" t="s">
        <v>213</v>
      </c>
      <c r="D136" s="1" t="s">
        <v>49</v>
      </c>
      <c r="E136" s="1">
        <v>44.53</v>
      </c>
      <c r="F136" s="1">
        <v>50</v>
      </c>
      <c r="G136" s="1">
        <v>40.21</v>
      </c>
      <c r="H136" s="1">
        <v>30.11</v>
      </c>
      <c r="J136" s="1">
        <v>5</v>
      </c>
      <c r="K136" s="1">
        <v>4</v>
      </c>
      <c r="L136" s="1">
        <v>3</v>
      </c>
      <c r="M136" s="1">
        <v>1</v>
      </c>
      <c r="N136" s="1">
        <v>2</v>
      </c>
      <c r="O136" s="1">
        <v>6</v>
      </c>
      <c r="P136" s="1">
        <v>3</v>
      </c>
      <c r="R136" s="1">
        <v>2</v>
      </c>
      <c r="Y136" s="6"/>
    </row>
    <row r="137" spans="1:25">
      <c r="A137" s="5"/>
      <c r="C137" s="1" t="s">
        <v>192</v>
      </c>
      <c r="D137" s="1">
        <v>0.13</v>
      </c>
      <c r="E137" s="1">
        <v>66.41</v>
      </c>
      <c r="F137" s="1">
        <v>63.77</v>
      </c>
      <c r="G137" s="1">
        <v>58.76</v>
      </c>
      <c r="H137" s="1">
        <v>45.16</v>
      </c>
      <c r="J137" s="1">
        <v>0.11</v>
      </c>
      <c r="K137" s="1">
        <v>0.13</v>
      </c>
      <c r="L137" s="1">
        <v>0.12</v>
      </c>
      <c r="M137" s="1">
        <v>0.11</v>
      </c>
      <c r="N137" s="1">
        <v>0.17</v>
      </c>
      <c r="O137" s="1">
        <v>0.12</v>
      </c>
      <c r="P137" s="1">
        <v>0.09</v>
      </c>
      <c r="R137" s="1">
        <v>0.09</v>
      </c>
      <c r="Y137" s="6"/>
    </row>
    <row r="138" spans="1:25">
      <c r="A138" s="5"/>
      <c r="C138" s="1" t="s">
        <v>196</v>
      </c>
      <c r="J138" s="1">
        <v>1</v>
      </c>
      <c r="K138" s="1">
        <v>6</v>
      </c>
      <c r="L138" s="1">
        <v>1</v>
      </c>
      <c r="M138" s="1">
        <v>1</v>
      </c>
      <c r="N138" s="1">
        <v>5</v>
      </c>
      <c r="O138" s="1">
        <v>4</v>
      </c>
      <c r="P138" s="1">
        <v>1</v>
      </c>
      <c r="R138" s="1">
        <v>2</v>
      </c>
      <c r="Y138" s="6"/>
    </row>
    <row r="139" spans="1:25">
      <c r="A139" s="5">
        <v>6</v>
      </c>
      <c r="C139" s="1" t="s">
        <v>214</v>
      </c>
      <c r="D139" s="1" t="s">
        <v>48</v>
      </c>
      <c r="E139" s="1">
        <v>6.22</v>
      </c>
      <c r="F139" s="1">
        <v>5.57</v>
      </c>
      <c r="G139" s="1">
        <v>24</v>
      </c>
      <c r="H139" s="1">
        <v>75</v>
      </c>
      <c r="J139" s="1">
        <v>6</v>
      </c>
      <c r="K139" s="1">
        <v>10</v>
      </c>
      <c r="L139" s="1">
        <v>1</v>
      </c>
      <c r="M139" s="1">
        <v>6</v>
      </c>
      <c r="N139" s="1">
        <v>7</v>
      </c>
      <c r="P139" s="1">
        <v>8</v>
      </c>
      <c r="R139" s="1">
        <v>12</v>
      </c>
      <c r="Y139" s="6"/>
    </row>
    <row r="140" spans="1:25">
      <c r="A140" s="5"/>
      <c r="C140" s="1" t="s">
        <v>215</v>
      </c>
      <c r="D140" s="1" t="s">
        <v>49</v>
      </c>
      <c r="E140" s="1">
        <v>45.65</v>
      </c>
      <c r="F140" s="1">
        <v>30.95</v>
      </c>
      <c r="G140" s="1">
        <v>41.58</v>
      </c>
      <c r="H140" s="1">
        <v>45.05</v>
      </c>
      <c r="J140" s="1">
        <v>1</v>
      </c>
      <c r="K140" s="1">
        <v>4</v>
      </c>
      <c r="L140" s="1">
        <v>6</v>
      </c>
      <c r="M140" s="1">
        <v>2</v>
      </c>
      <c r="N140" s="1">
        <v>3</v>
      </c>
      <c r="P140" s="1">
        <v>5</v>
      </c>
      <c r="R140" s="1">
        <v>6</v>
      </c>
      <c r="Y140" s="6"/>
    </row>
    <row r="141" spans="1:25">
      <c r="A141" s="5"/>
      <c r="C141" s="1" t="s">
        <v>175</v>
      </c>
      <c r="D141" s="1">
        <v>0.15</v>
      </c>
      <c r="E141" s="1">
        <v>66.3</v>
      </c>
      <c r="F141" s="1">
        <v>59.52</v>
      </c>
      <c r="G141" s="1">
        <v>55.45</v>
      </c>
      <c r="H141" s="1">
        <v>65.930000000000007</v>
      </c>
      <c r="J141" s="1">
        <v>0.2</v>
      </c>
      <c r="K141" s="1">
        <v>0.13</v>
      </c>
      <c r="L141" s="1">
        <v>0.19</v>
      </c>
      <c r="M141" s="1">
        <v>0.11</v>
      </c>
      <c r="N141" s="1">
        <v>0.09</v>
      </c>
      <c r="P141" s="1">
        <v>0.05</v>
      </c>
      <c r="R141" s="1">
        <v>7.0000000000000007E-2</v>
      </c>
      <c r="Y141" s="6"/>
    </row>
    <row r="142" spans="1:25">
      <c r="A142" s="5"/>
      <c r="C142" s="1" t="s">
        <v>216</v>
      </c>
      <c r="J142" s="1">
        <v>1</v>
      </c>
      <c r="K142" s="1">
        <v>4</v>
      </c>
      <c r="L142" s="1">
        <v>3</v>
      </c>
      <c r="M142" s="1">
        <v>5</v>
      </c>
      <c r="N142" s="1">
        <v>3</v>
      </c>
      <c r="P142" s="1">
        <v>2</v>
      </c>
      <c r="R142" s="1">
        <v>2</v>
      </c>
      <c r="Y142" s="6"/>
    </row>
    <row r="143" spans="1:25" ht="14.25" thickBot="1">
      <c r="A143" s="7" t="s">
        <v>50</v>
      </c>
      <c r="B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</row>
    <row r="144" spans="1:25">
      <c r="A144" s="1" t="s">
        <v>158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E4D4-0F01-4520-9902-3ECBC25CD999}">
  <sheetPr codeName="Sheet4"/>
  <dimension ref="B2:E26"/>
  <sheetViews>
    <sheetView topLeftCell="A21" workbookViewId="0">
      <selection activeCell="B2" sqref="B2:E26"/>
    </sheetView>
  </sheetViews>
  <sheetFormatPr defaultRowHeight="18.75"/>
  <cols>
    <col min="2" max="2" width="17.125" customWidth="1"/>
    <col min="3" max="3" width="23.625" bestFit="1" customWidth="1"/>
    <col min="4" max="4" width="17.875" bestFit="1" customWidth="1"/>
    <col min="5" max="5" width="28.25" bestFit="1" customWidth="1"/>
  </cols>
  <sheetData>
    <row r="2" spans="2:5">
      <c r="B2" t="s">
        <v>225</v>
      </c>
    </row>
    <row r="3" spans="2:5">
      <c r="B3" t="s">
        <v>0</v>
      </c>
      <c r="C3" t="s">
        <v>241</v>
      </c>
      <c r="D3" t="s">
        <v>243</v>
      </c>
    </row>
    <row r="4" spans="2:5">
      <c r="B4" t="s">
        <v>1</v>
      </c>
      <c r="C4" t="s">
        <v>241</v>
      </c>
      <c r="D4" t="s">
        <v>244</v>
      </c>
    </row>
    <row r="5" spans="2:5">
      <c r="B5" t="s">
        <v>2</v>
      </c>
      <c r="C5" t="s">
        <v>245</v>
      </c>
      <c r="D5" t="s">
        <v>246</v>
      </c>
    </row>
    <row r="6" spans="2:5">
      <c r="B6" t="s">
        <v>3</v>
      </c>
      <c r="C6" t="s">
        <v>245</v>
      </c>
      <c r="D6" t="s">
        <v>247</v>
      </c>
    </row>
    <row r="7" spans="2:5">
      <c r="B7" t="s">
        <v>4</v>
      </c>
      <c r="C7" t="s">
        <v>264</v>
      </c>
      <c r="D7" t="s">
        <v>248</v>
      </c>
    </row>
    <row r="8" spans="2:5">
      <c r="B8" t="s">
        <v>5</v>
      </c>
      <c r="C8" t="s">
        <v>264</v>
      </c>
      <c r="D8" t="s">
        <v>249</v>
      </c>
    </row>
    <row r="9" spans="2:5">
      <c r="B9" t="s">
        <v>6</v>
      </c>
      <c r="C9" t="s">
        <v>252</v>
      </c>
      <c r="D9" t="s">
        <v>255</v>
      </c>
      <c r="E9" t="s">
        <v>265</v>
      </c>
    </row>
    <row r="10" spans="2:5">
      <c r="B10" t="s">
        <v>266</v>
      </c>
      <c r="C10" t="s">
        <v>251</v>
      </c>
      <c r="D10" t="s">
        <v>251</v>
      </c>
      <c r="E10" t="s">
        <v>258</v>
      </c>
    </row>
    <row r="11" spans="2:5">
      <c r="B11" t="s">
        <v>227</v>
      </c>
      <c r="C11" t="s">
        <v>251</v>
      </c>
      <c r="D11" t="s">
        <v>251</v>
      </c>
      <c r="E11" t="s">
        <v>260</v>
      </c>
    </row>
    <row r="12" spans="2:5">
      <c r="B12" t="s">
        <v>9</v>
      </c>
      <c r="C12" t="s">
        <v>252</v>
      </c>
      <c r="D12" t="s">
        <v>254</v>
      </c>
      <c r="E12" t="s">
        <v>265</v>
      </c>
    </row>
    <row r="13" spans="2:5">
      <c r="B13" t="s">
        <v>10</v>
      </c>
      <c r="C13" t="s">
        <v>252</v>
      </c>
      <c r="D13" t="s">
        <v>256</v>
      </c>
      <c r="E13" t="s">
        <v>265</v>
      </c>
    </row>
    <row r="14" spans="2:5">
      <c r="B14" t="s">
        <v>11</v>
      </c>
      <c r="C14" t="s">
        <v>262</v>
      </c>
    </row>
    <row r="15" spans="2:5">
      <c r="B15" t="s">
        <v>12</v>
      </c>
      <c r="C15" t="s">
        <v>262</v>
      </c>
    </row>
    <row r="16" spans="2:5">
      <c r="B16" t="s">
        <v>13</v>
      </c>
      <c r="C16" t="s">
        <v>262</v>
      </c>
    </row>
    <row r="17" spans="2:5">
      <c r="B17" t="s">
        <v>14</v>
      </c>
      <c r="C17" t="s">
        <v>262</v>
      </c>
    </row>
    <row r="18" spans="2:5">
      <c r="B18" t="s">
        <v>15</v>
      </c>
      <c r="C18" t="s">
        <v>262</v>
      </c>
    </row>
    <row r="19" spans="2:5">
      <c r="B19" t="s">
        <v>16</v>
      </c>
      <c r="C19" t="s">
        <v>262</v>
      </c>
    </row>
    <row r="20" spans="2:5">
      <c r="B20" t="s">
        <v>228</v>
      </c>
      <c r="C20" t="s">
        <v>262</v>
      </c>
    </row>
    <row r="21" spans="2:5">
      <c r="B21" t="s">
        <v>18</v>
      </c>
      <c r="C21" t="s">
        <v>262</v>
      </c>
    </row>
    <row r="22" spans="2:5">
      <c r="B22" t="s">
        <v>229</v>
      </c>
      <c r="C22" t="s">
        <v>262</v>
      </c>
      <c r="E22" t="s">
        <v>258</v>
      </c>
    </row>
    <row r="23" spans="2:5">
      <c r="B23" t="s">
        <v>230</v>
      </c>
      <c r="C23" t="s">
        <v>262</v>
      </c>
      <c r="E23" t="s">
        <v>258</v>
      </c>
    </row>
    <row r="24" spans="2:5">
      <c r="B24" t="s">
        <v>231</v>
      </c>
      <c r="C24" t="s">
        <v>262</v>
      </c>
    </row>
    <row r="25" spans="2:5">
      <c r="B25" t="s">
        <v>22</v>
      </c>
      <c r="C25" t="s">
        <v>262</v>
      </c>
    </row>
    <row r="26" spans="2:5">
      <c r="B26" t="s">
        <v>23</v>
      </c>
      <c r="C26" t="s">
        <v>262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0C12-5CF9-4AA0-BC90-D3293D8504D3}">
  <sheetPr codeName="Sheet5"/>
  <dimension ref="A1:R33"/>
  <sheetViews>
    <sheetView workbookViewId="0">
      <selection sqref="A1:J1"/>
    </sheetView>
  </sheetViews>
  <sheetFormatPr defaultRowHeight="13.5"/>
  <cols>
    <col min="1" max="16384" width="9" style="1"/>
  </cols>
  <sheetData>
    <row r="1" spans="1:18" ht="14.25" thickBot="1">
      <c r="A1" s="19" t="s">
        <v>73</v>
      </c>
      <c r="B1" s="29" t="s">
        <v>74</v>
      </c>
      <c r="C1" s="29" t="s">
        <v>75</v>
      </c>
      <c r="D1" s="29" t="s">
        <v>76</v>
      </c>
      <c r="E1" s="29" t="s">
        <v>77</v>
      </c>
      <c r="F1" s="29" t="s">
        <v>78</v>
      </c>
      <c r="G1" s="29" t="s">
        <v>79</v>
      </c>
      <c r="H1" s="29" t="s">
        <v>80</v>
      </c>
      <c r="I1" s="29" t="s">
        <v>81</v>
      </c>
      <c r="J1" s="74" t="s">
        <v>82</v>
      </c>
      <c r="K1" s="87" t="s">
        <v>75</v>
      </c>
      <c r="L1" s="88" t="s">
        <v>76</v>
      </c>
      <c r="M1" s="88" t="s">
        <v>77</v>
      </c>
      <c r="N1" s="88" t="s">
        <v>78</v>
      </c>
      <c r="O1" s="88" t="s">
        <v>79</v>
      </c>
      <c r="P1" s="88" t="s">
        <v>80</v>
      </c>
      <c r="Q1" s="88" t="s">
        <v>81</v>
      </c>
      <c r="R1" s="89" t="s">
        <v>82</v>
      </c>
    </row>
    <row r="2" spans="1:18" ht="15" customHeight="1" thickTop="1">
      <c r="A2" s="30">
        <v>1</v>
      </c>
      <c r="B2" s="31" t="s">
        <v>83</v>
      </c>
      <c r="C2" s="32">
        <f>A20</f>
        <v>0.45800000000000002</v>
      </c>
      <c r="D2" s="32">
        <v>0</v>
      </c>
      <c r="E2" s="32">
        <v>0</v>
      </c>
      <c r="F2" s="32">
        <v>0</v>
      </c>
      <c r="G2" s="32">
        <v>0</v>
      </c>
      <c r="H2" s="32">
        <f>A23</f>
        <v>0.186</v>
      </c>
      <c r="I2" s="32">
        <f>A27</f>
        <v>0.28799999999999998</v>
      </c>
      <c r="J2" s="75">
        <f>A31</f>
        <v>1.7000000000000001E-2</v>
      </c>
      <c r="K2" s="12">
        <f>IFERROR(VALUE(SUBSTITUTE(C2, "%", "")), 0)</f>
        <v>0.45800000000000002</v>
      </c>
      <c r="L2" s="11">
        <f t="shared" ref="L2:R2" si="0">IFERROR(VALUE(SUBSTITUTE(D2, "%", "")), 0)</f>
        <v>0</v>
      </c>
      <c r="M2" s="11">
        <f t="shared" si="0"/>
        <v>0</v>
      </c>
      <c r="N2" s="11">
        <f t="shared" si="0"/>
        <v>0</v>
      </c>
      <c r="O2" s="11">
        <f t="shared" si="0"/>
        <v>0</v>
      </c>
      <c r="P2" s="11">
        <f t="shared" si="0"/>
        <v>0.186</v>
      </c>
      <c r="Q2" s="11">
        <f t="shared" si="0"/>
        <v>0.28799999999999998</v>
      </c>
      <c r="R2" s="13">
        <f t="shared" si="0"/>
        <v>1.7000000000000001E-2</v>
      </c>
    </row>
    <row r="3" spans="1:18" ht="14.25" customHeight="1">
      <c r="A3" s="33">
        <v>1</v>
      </c>
      <c r="B3" s="34" t="s">
        <v>84</v>
      </c>
      <c r="C3" s="35">
        <f>A21</f>
        <v>0.56299999999999994</v>
      </c>
      <c r="D3" s="35">
        <v>0</v>
      </c>
      <c r="E3" s="35">
        <v>0</v>
      </c>
      <c r="F3" s="35">
        <v>0</v>
      </c>
      <c r="G3" s="35">
        <v>0</v>
      </c>
      <c r="H3" s="35">
        <f>A24</f>
        <v>0.156</v>
      </c>
      <c r="I3" s="35">
        <f>A28</f>
        <v>0.25</v>
      </c>
      <c r="J3" s="76">
        <f>A32</f>
        <v>3.1E-2</v>
      </c>
      <c r="K3" s="12">
        <f t="shared" ref="K3:K13" si="1">IFERROR(VALUE(SUBSTITUTE(C3, "%", "")), 0)</f>
        <v>0.56299999999999994</v>
      </c>
      <c r="L3" s="11">
        <f t="shared" ref="L3:L13" si="2">IFERROR(VALUE(SUBSTITUTE(D3, "%", "")), 0)</f>
        <v>0</v>
      </c>
      <c r="M3" s="11">
        <f t="shared" ref="M3:M13" si="3">IFERROR(VALUE(SUBSTITUTE(E3, "%", "")), 0)</f>
        <v>0</v>
      </c>
      <c r="N3" s="11">
        <f t="shared" ref="N3:N13" si="4">IFERROR(VALUE(SUBSTITUTE(F3, "%", "")), 0)</f>
        <v>0</v>
      </c>
      <c r="O3" s="11">
        <f t="shared" ref="O3:O13" si="5">IFERROR(VALUE(SUBSTITUTE(G3, "%", "")), 0)</f>
        <v>0</v>
      </c>
      <c r="P3" s="11">
        <f t="shared" ref="P3:P13" si="6">IFERROR(VALUE(SUBSTITUTE(H3, "%", "")), 0)</f>
        <v>0.156</v>
      </c>
      <c r="Q3" s="11">
        <f t="shared" ref="Q3:Q13" si="7">IFERROR(VALUE(SUBSTITUTE(I3, "%", "")), 0)</f>
        <v>0.25</v>
      </c>
      <c r="R3" s="13">
        <f t="shared" ref="R3:R13" si="8">IFERROR(VALUE(SUBSTITUTE(J3, "%", "")), 0)</f>
        <v>3.1E-2</v>
      </c>
    </row>
    <row r="4" spans="1:18" ht="14.25" customHeight="1">
      <c r="A4" s="36">
        <v>2</v>
      </c>
      <c r="B4" s="37" t="s">
        <v>83</v>
      </c>
      <c r="C4" s="38">
        <v>0</v>
      </c>
      <c r="D4" s="38">
        <f>C23</f>
        <v>0.17499999999999999</v>
      </c>
      <c r="E4" s="38">
        <f>C27</f>
        <v>0.05</v>
      </c>
      <c r="F4" s="38">
        <f>C31</f>
        <v>0</v>
      </c>
      <c r="G4" s="38">
        <f>C20</f>
        <v>0.5</v>
      </c>
      <c r="H4" s="38">
        <v>0</v>
      </c>
      <c r="I4" s="38">
        <v>0</v>
      </c>
      <c r="J4" s="77">
        <v>0</v>
      </c>
      <c r="K4" s="12">
        <f t="shared" si="1"/>
        <v>0</v>
      </c>
      <c r="L4" s="11">
        <f t="shared" si="2"/>
        <v>0.17499999999999999</v>
      </c>
      <c r="M4" s="11">
        <f t="shared" si="3"/>
        <v>0.05</v>
      </c>
      <c r="N4" s="11">
        <f t="shared" si="4"/>
        <v>0</v>
      </c>
      <c r="O4" s="11">
        <f t="shared" si="5"/>
        <v>0.5</v>
      </c>
      <c r="P4" s="11">
        <f t="shared" si="6"/>
        <v>0</v>
      </c>
      <c r="Q4" s="11">
        <f t="shared" si="7"/>
        <v>0</v>
      </c>
      <c r="R4" s="13">
        <f t="shared" si="8"/>
        <v>0</v>
      </c>
    </row>
    <row r="5" spans="1:18">
      <c r="A5" s="39">
        <v>2</v>
      </c>
      <c r="B5" s="40" t="s">
        <v>84</v>
      </c>
      <c r="C5" s="41">
        <v>0</v>
      </c>
      <c r="D5" s="41">
        <f>C24</f>
        <v>9.5000000000000001E-2</v>
      </c>
      <c r="E5" s="41">
        <f>C28</f>
        <v>4.8000000000000001E-2</v>
      </c>
      <c r="F5" s="41">
        <f>C32</f>
        <v>0</v>
      </c>
      <c r="G5" s="41">
        <f>C21</f>
        <v>0.52400000000000002</v>
      </c>
      <c r="H5" s="41">
        <v>0</v>
      </c>
      <c r="I5" s="41">
        <v>0</v>
      </c>
      <c r="J5" s="78">
        <v>0</v>
      </c>
      <c r="K5" s="12">
        <f t="shared" si="1"/>
        <v>0</v>
      </c>
      <c r="L5" s="11">
        <f t="shared" si="2"/>
        <v>9.5000000000000001E-2</v>
      </c>
      <c r="M5" s="11">
        <f t="shared" si="3"/>
        <v>4.8000000000000001E-2</v>
      </c>
      <c r="N5" s="11">
        <f t="shared" si="4"/>
        <v>0</v>
      </c>
      <c r="O5" s="11">
        <f t="shared" si="5"/>
        <v>0.52400000000000002</v>
      </c>
      <c r="P5" s="11">
        <f t="shared" si="6"/>
        <v>0</v>
      </c>
      <c r="Q5" s="11">
        <f t="shared" si="7"/>
        <v>0</v>
      </c>
      <c r="R5" s="13">
        <f t="shared" si="8"/>
        <v>0</v>
      </c>
    </row>
    <row r="6" spans="1:18">
      <c r="A6" s="42">
        <v>3</v>
      </c>
      <c r="B6" s="43" t="s">
        <v>83</v>
      </c>
      <c r="C6" s="44">
        <v>0</v>
      </c>
      <c r="D6" s="44">
        <f>D23</f>
        <v>3.3000000000000002E-2</v>
      </c>
      <c r="E6" s="44">
        <f>D27</f>
        <v>6.7000000000000004E-2</v>
      </c>
      <c r="F6" s="44">
        <f>D31</f>
        <v>6.7000000000000004E-2</v>
      </c>
      <c r="G6" s="44">
        <v>0</v>
      </c>
      <c r="H6" s="44">
        <v>0</v>
      </c>
      <c r="I6" s="44">
        <v>0</v>
      </c>
      <c r="J6" s="79">
        <v>0</v>
      </c>
      <c r="K6" s="12">
        <f t="shared" si="1"/>
        <v>0</v>
      </c>
      <c r="L6" s="11">
        <f t="shared" si="2"/>
        <v>3.3000000000000002E-2</v>
      </c>
      <c r="M6" s="11">
        <f t="shared" si="3"/>
        <v>6.7000000000000004E-2</v>
      </c>
      <c r="N6" s="11">
        <f t="shared" si="4"/>
        <v>6.7000000000000004E-2</v>
      </c>
      <c r="O6" s="11">
        <f t="shared" si="5"/>
        <v>0</v>
      </c>
      <c r="P6" s="11">
        <f t="shared" si="6"/>
        <v>0</v>
      </c>
      <c r="Q6" s="11">
        <f t="shared" si="7"/>
        <v>0</v>
      </c>
      <c r="R6" s="13">
        <f t="shared" si="8"/>
        <v>0</v>
      </c>
    </row>
    <row r="7" spans="1:18">
      <c r="A7" s="45">
        <v>3</v>
      </c>
      <c r="B7" s="46" t="s">
        <v>84</v>
      </c>
      <c r="C7" s="47">
        <v>0</v>
      </c>
      <c r="D7" s="47">
        <f>D24</f>
        <v>7.0999999999999994E-2</v>
      </c>
      <c r="E7" s="47">
        <f>D28</f>
        <v>7.0999999999999994E-2</v>
      </c>
      <c r="F7" s="47">
        <f>D32</f>
        <v>7.0999999999999994E-2</v>
      </c>
      <c r="G7" s="47">
        <v>0</v>
      </c>
      <c r="H7" s="47">
        <v>0</v>
      </c>
      <c r="I7" s="47">
        <v>0</v>
      </c>
      <c r="J7" s="80">
        <v>0</v>
      </c>
      <c r="K7" s="12">
        <f t="shared" si="1"/>
        <v>0</v>
      </c>
      <c r="L7" s="11">
        <f t="shared" si="2"/>
        <v>7.0999999999999994E-2</v>
      </c>
      <c r="M7" s="11">
        <f t="shared" si="3"/>
        <v>7.0999999999999994E-2</v>
      </c>
      <c r="N7" s="11">
        <f t="shared" si="4"/>
        <v>7.0999999999999994E-2</v>
      </c>
      <c r="O7" s="11">
        <f t="shared" si="5"/>
        <v>0</v>
      </c>
      <c r="P7" s="11">
        <f t="shared" si="6"/>
        <v>0</v>
      </c>
      <c r="Q7" s="11">
        <f t="shared" si="7"/>
        <v>0</v>
      </c>
      <c r="R7" s="13">
        <f t="shared" si="8"/>
        <v>0</v>
      </c>
    </row>
    <row r="8" spans="1:18">
      <c r="A8" s="48">
        <v>4</v>
      </c>
      <c r="B8" s="49" t="s">
        <v>83</v>
      </c>
      <c r="C8" s="50">
        <v>0</v>
      </c>
      <c r="D8" s="50">
        <f>E23</f>
        <v>0</v>
      </c>
      <c r="E8" s="50">
        <f>E27</f>
        <v>4.7E-2</v>
      </c>
      <c r="F8" s="50">
        <f>E31</f>
        <v>4.7E-2</v>
      </c>
      <c r="G8" s="50">
        <v>0</v>
      </c>
      <c r="H8" s="50">
        <v>0</v>
      </c>
      <c r="I8" s="50">
        <v>0</v>
      </c>
      <c r="J8" s="81">
        <v>0</v>
      </c>
      <c r="K8" s="12">
        <f t="shared" si="1"/>
        <v>0</v>
      </c>
      <c r="L8" s="11">
        <f t="shared" si="2"/>
        <v>0</v>
      </c>
      <c r="M8" s="11">
        <f t="shared" si="3"/>
        <v>4.7E-2</v>
      </c>
      <c r="N8" s="11">
        <f t="shared" si="4"/>
        <v>4.7E-2</v>
      </c>
      <c r="O8" s="11">
        <f t="shared" si="5"/>
        <v>0</v>
      </c>
      <c r="P8" s="11">
        <f t="shared" si="6"/>
        <v>0</v>
      </c>
      <c r="Q8" s="11">
        <f t="shared" si="7"/>
        <v>0</v>
      </c>
      <c r="R8" s="13">
        <f t="shared" si="8"/>
        <v>0</v>
      </c>
    </row>
    <row r="9" spans="1:18">
      <c r="A9" s="51">
        <v>4</v>
      </c>
      <c r="B9" s="52" t="s">
        <v>84</v>
      </c>
      <c r="C9" s="53">
        <v>0</v>
      </c>
      <c r="D9" s="53">
        <f>E24</f>
        <v>0</v>
      </c>
      <c r="E9" s="53">
        <f>E28</f>
        <v>0</v>
      </c>
      <c r="F9" s="53">
        <f>E32</f>
        <v>0</v>
      </c>
      <c r="G9" s="53">
        <v>0</v>
      </c>
      <c r="H9" s="53">
        <v>0</v>
      </c>
      <c r="I9" s="53">
        <v>0</v>
      </c>
      <c r="J9" s="82">
        <v>0</v>
      </c>
      <c r="K9" s="12">
        <f t="shared" si="1"/>
        <v>0</v>
      </c>
      <c r="L9" s="11">
        <f t="shared" si="2"/>
        <v>0</v>
      </c>
      <c r="M9" s="11">
        <f t="shared" si="3"/>
        <v>0</v>
      </c>
      <c r="N9" s="11">
        <f t="shared" si="4"/>
        <v>0</v>
      </c>
      <c r="O9" s="11">
        <f t="shared" si="5"/>
        <v>0</v>
      </c>
      <c r="P9" s="11">
        <f t="shared" si="6"/>
        <v>0</v>
      </c>
      <c r="Q9" s="11">
        <f t="shared" si="7"/>
        <v>0</v>
      </c>
      <c r="R9" s="13">
        <f t="shared" si="8"/>
        <v>0</v>
      </c>
    </row>
    <row r="10" spans="1:18">
      <c r="A10" s="54">
        <v>5</v>
      </c>
      <c r="B10" s="55" t="s">
        <v>83</v>
      </c>
      <c r="C10" s="56">
        <v>0</v>
      </c>
      <c r="D10" s="56">
        <f>F23</f>
        <v>0</v>
      </c>
      <c r="E10" s="56">
        <f>F27</f>
        <v>5.6000000000000001E-2</v>
      </c>
      <c r="F10" s="56">
        <f>F31</f>
        <v>8.3000000000000004E-2</v>
      </c>
      <c r="G10" s="56">
        <v>0</v>
      </c>
      <c r="H10" s="56">
        <v>0</v>
      </c>
      <c r="I10" s="56">
        <v>0</v>
      </c>
      <c r="J10" s="83">
        <v>0</v>
      </c>
      <c r="K10" s="12">
        <f t="shared" si="1"/>
        <v>0</v>
      </c>
      <c r="L10" s="11">
        <f t="shared" si="2"/>
        <v>0</v>
      </c>
      <c r="M10" s="11">
        <f t="shared" si="3"/>
        <v>5.6000000000000001E-2</v>
      </c>
      <c r="N10" s="11">
        <f t="shared" si="4"/>
        <v>8.3000000000000004E-2</v>
      </c>
      <c r="O10" s="11">
        <f t="shared" si="5"/>
        <v>0</v>
      </c>
      <c r="P10" s="11">
        <f t="shared" si="6"/>
        <v>0</v>
      </c>
      <c r="Q10" s="11">
        <f t="shared" si="7"/>
        <v>0</v>
      </c>
      <c r="R10" s="13">
        <f t="shared" si="8"/>
        <v>0</v>
      </c>
    </row>
    <row r="11" spans="1:18">
      <c r="A11" s="57">
        <v>5</v>
      </c>
      <c r="B11" s="58" t="s">
        <v>84</v>
      </c>
      <c r="C11" s="59">
        <v>0</v>
      </c>
      <c r="D11" s="59">
        <f>F24</f>
        <v>0</v>
      </c>
      <c r="E11" s="59">
        <f>F28</f>
        <v>5.2999999999999999E-2</v>
      </c>
      <c r="F11" s="59">
        <f>F32</f>
        <v>0.105</v>
      </c>
      <c r="G11" s="59">
        <v>0</v>
      </c>
      <c r="H11" s="59">
        <v>0</v>
      </c>
      <c r="I11" s="59">
        <v>0</v>
      </c>
      <c r="J11" s="84">
        <v>0</v>
      </c>
      <c r="K11" s="12">
        <f t="shared" si="1"/>
        <v>0</v>
      </c>
      <c r="L11" s="11">
        <f t="shared" si="2"/>
        <v>0</v>
      </c>
      <c r="M11" s="11">
        <f t="shared" si="3"/>
        <v>5.2999999999999999E-2</v>
      </c>
      <c r="N11" s="11">
        <f t="shared" si="4"/>
        <v>0.105</v>
      </c>
      <c r="O11" s="11">
        <f t="shared" si="5"/>
        <v>0</v>
      </c>
      <c r="P11" s="11">
        <f t="shared" si="6"/>
        <v>0</v>
      </c>
      <c r="Q11" s="11">
        <f t="shared" si="7"/>
        <v>0</v>
      </c>
      <c r="R11" s="13">
        <f t="shared" si="8"/>
        <v>0</v>
      </c>
    </row>
    <row r="12" spans="1:18">
      <c r="A12" s="60">
        <v>6</v>
      </c>
      <c r="B12" s="61" t="s">
        <v>83</v>
      </c>
      <c r="C12" s="62">
        <v>0</v>
      </c>
      <c r="D12" s="62">
        <f>G23</f>
        <v>0</v>
      </c>
      <c r="E12" s="62">
        <f>G27</f>
        <v>0</v>
      </c>
      <c r="F12" s="62">
        <f>G31</f>
        <v>0</v>
      </c>
      <c r="G12" s="62">
        <v>0</v>
      </c>
      <c r="H12" s="62">
        <v>0</v>
      </c>
      <c r="I12" s="62">
        <v>0</v>
      </c>
      <c r="J12" s="85">
        <v>0</v>
      </c>
      <c r="K12" s="12">
        <f t="shared" si="1"/>
        <v>0</v>
      </c>
      <c r="L12" s="11">
        <f t="shared" si="2"/>
        <v>0</v>
      </c>
      <c r="M12" s="11">
        <f t="shared" si="3"/>
        <v>0</v>
      </c>
      <c r="N12" s="11">
        <f t="shared" si="4"/>
        <v>0</v>
      </c>
      <c r="O12" s="11">
        <f t="shared" si="5"/>
        <v>0</v>
      </c>
      <c r="P12" s="11">
        <f t="shared" si="6"/>
        <v>0</v>
      </c>
      <c r="Q12" s="11">
        <f t="shared" si="7"/>
        <v>0</v>
      </c>
      <c r="R12" s="13">
        <f t="shared" si="8"/>
        <v>0</v>
      </c>
    </row>
    <row r="13" spans="1:18" ht="14.25" thickBot="1">
      <c r="A13" s="63">
        <v>6</v>
      </c>
      <c r="B13" s="64" t="s">
        <v>84</v>
      </c>
      <c r="C13" s="65">
        <v>0</v>
      </c>
      <c r="D13" s="65">
        <f>G24</f>
        <v>0</v>
      </c>
      <c r="E13" s="65">
        <f>G28</f>
        <v>0</v>
      </c>
      <c r="F13" s="65">
        <f>G32</f>
        <v>0</v>
      </c>
      <c r="G13" s="65">
        <v>0</v>
      </c>
      <c r="H13" s="65">
        <v>0</v>
      </c>
      <c r="I13" s="65">
        <v>0</v>
      </c>
      <c r="J13" s="86">
        <v>0</v>
      </c>
      <c r="K13" s="14">
        <f t="shared" si="1"/>
        <v>0</v>
      </c>
      <c r="L13" s="26">
        <f t="shared" si="2"/>
        <v>0</v>
      </c>
      <c r="M13" s="26">
        <f t="shared" si="3"/>
        <v>0</v>
      </c>
      <c r="N13" s="26">
        <f t="shared" si="4"/>
        <v>0</v>
      </c>
      <c r="O13" s="26">
        <f t="shared" si="5"/>
        <v>0</v>
      </c>
      <c r="P13" s="26">
        <f t="shared" si="6"/>
        <v>0</v>
      </c>
      <c r="Q13" s="26">
        <f t="shared" si="7"/>
        <v>0</v>
      </c>
      <c r="R13" s="15">
        <f t="shared" si="8"/>
        <v>0</v>
      </c>
    </row>
    <row r="14" spans="1:18">
      <c r="C14" s="66"/>
      <c r="D14" s="66"/>
      <c r="E14" s="66"/>
      <c r="F14" s="66"/>
      <c r="G14" s="66"/>
      <c r="H14" s="66"/>
      <c r="I14" s="66"/>
      <c r="J14" s="66"/>
    </row>
    <row r="16" spans="1:18" ht="14.25" thickBot="1">
      <c r="A16" s="1" t="s">
        <v>85</v>
      </c>
    </row>
    <row r="17" spans="1:8" ht="15" customHeight="1">
      <c r="A17" s="2" t="s">
        <v>86</v>
      </c>
      <c r="B17" s="3"/>
      <c r="C17" s="3"/>
      <c r="D17" s="3"/>
      <c r="E17" s="3"/>
      <c r="F17" s="3"/>
      <c r="G17" s="3"/>
      <c r="H17" s="4"/>
    </row>
    <row r="18" spans="1:8" ht="14.25" customHeight="1">
      <c r="A18" s="5" t="s">
        <v>87</v>
      </c>
      <c r="H18" s="6"/>
    </row>
    <row r="19" spans="1:8" ht="14.25" customHeight="1">
      <c r="A19" s="5" t="s">
        <v>75</v>
      </c>
      <c r="C19" s="1" t="s">
        <v>79</v>
      </c>
      <c r="H19" s="6"/>
    </row>
    <row r="20" spans="1:8">
      <c r="A20" s="67">
        <v>0.45800000000000002</v>
      </c>
      <c r="C20" s="66">
        <v>0.5</v>
      </c>
      <c r="H20" s="6"/>
    </row>
    <row r="21" spans="1:8">
      <c r="A21" s="67">
        <v>0.56299999999999994</v>
      </c>
      <c r="C21" s="66">
        <v>0.52400000000000002</v>
      </c>
      <c r="H21" s="6"/>
    </row>
    <row r="22" spans="1:8">
      <c r="A22" s="5" t="s">
        <v>80</v>
      </c>
      <c r="C22" s="1" t="s">
        <v>76</v>
      </c>
      <c r="H22" s="6"/>
    </row>
    <row r="23" spans="1:8">
      <c r="A23" s="67">
        <v>0.186</v>
      </c>
      <c r="C23" s="66">
        <v>0.17499999999999999</v>
      </c>
      <c r="D23" s="66">
        <v>3.3000000000000002E-2</v>
      </c>
      <c r="E23" s="66">
        <v>0</v>
      </c>
      <c r="F23" s="66">
        <v>0</v>
      </c>
      <c r="G23" s="66">
        <v>0</v>
      </c>
      <c r="H23" s="6"/>
    </row>
    <row r="24" spans="1:8">
      <c r="A24" s="67">
        <v>0.156</v>
      </c>
      <c r="C24" s="66">
        <v>9.5000000000000001E-2</v>
      </c>
      <c r="D24" s="66">
        <v>7.0999999999999994E-2</v>
      </c>
      <c r="E24" s="66">
        <v>0</v>
      </c>
      <c r="F24" s="66">
        <v>0</v>
      </c>
      <c r="G24" s="66">
        <v>0</v>
      </c>
      <c r="H24" s="6"/>
    </row>
    <row r="25" spans="1:8">
      <c r="A25" s="5" t="s">
        <v>81</v>
      </c>
      <c r="C25" s="1" t="s">
        <v>88</v>
      </c>
      <c r="H25" s="6"/>
    </row>
    <row r="26" spans="1:8">
      <c r="A26" s="5"/>
      <c r="H26" s="6"/>
    </row>
    <row r="27" spans="1:8">
      <c r="A27" s="67">
        <v>0.28799999999999998</v>
      </c>
      <c r="C27" s="66">
        <v>0.05</v>
      </c>
      <c r="D27" s="66">
        <v>6.7000000000000004E-2</v>
      </c>
      <c r="E27" s="66">
        <v>4.7E-2</v>
      </c>
      <c r="F27" s="66">
        <v>5.6000000000000001E-2</v>
      </c>
      <c r="G27" s="66">
        <v>0</v>
      </c>
      <c r="H27" s="6"/>
    </row>
    <row r="28" spans="1:8">
      <c r="A28" s="67">
        <v>0.25</v>
      </c>
      <c r="C28" s="66">
        <v>4.8000000000000001E-2</v>
      </c>
      <c r="D28" s="66">
        <v>7.0999999999999994E-2</v>
      </c>
      <c r="E28" s="66">
        <v>0</v>
      </c>
      <c r="F28" s="66">
        <v>5.2999999999999999E-2</v>
      </c>
      <c r="G28" s="66">
        <v>0</v>
      </c>
      <c r="H28" s="6"/>
    </row>
    <row r="29" spans="1:8">
      <c r="A29" s="5" t="s">
        <v>82</v>
      </c>
      <c r="C29" s="1" t="s">
        <v>89</v>
      </c>
      <c r="H29" s="6"/>
    </row>
    <row r="30" spans="1:8">
      <c r="A30" s="5"/>
      <c r="H30" s="6"/>
    </row>
    <row r="31" spans="1:8">
      <c r="A31" s="67">
        <v>1.7000000000000001E-2</v>
      </c>
      <c r="C31" s="66">
        <v>0</v>
      </c>
      <c r="D31" s="66">
        <v>6.7000000000000004E-2</v>
      </c>
      <c r="E31" s="66">
        <v>4.7E-2</v>
      </c>
      <c r="F31" s="66">
        <v>8.3000000000000004E-2</v>
      </c>
      <c r="G31" s="66">
        <v>0</v>
      </c>
      <c r="H31" s="6"/>
    </row>
    <row r="32" spans="1:8">
      <c r="A32" s="67">
        <v>3.1E-2</v>
      </c>
      <c r="C32" s="66">
        <v>0</v>
      </c>
      <c r="D32" s="66">
        <v>7.0999999999999994E-2</v>
      </c>
      <c r="E32" s="66">
        <v>0</v>
      </c>
      <c r="F32" s="66">
        <v>0.105</v>
      </c>
      <c r="G32" s="66">
        <v>0</v>
      </c>
      <c r="H32" s="6"/>
    </row>
    <row r="33" spans="1:8" ht="14.25" thickBot="1">
      <c r="A33" s="7"/>
      <c r="B33" s="8"/>
      <c r="C33" s="8"/>
      <c r="D33" s="8"/>
      <c r="E33" s="8"/>
      <c r="F33" s="8"/>
      <c r="G33" s="8"/>
      <c r="H33" s="9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BD53-AAEE-4B7E-9374-14C64AA27CA4}">
  <sheetPr codeName="Sheet11"/>
  <dimension ref="B1:C12"/>
  <sheetViews>
    <sheetView workbookViewId="0">
      <selection activeCell="B2" sqref="B2:C11"/>
    </sheetView>
  </sheetViews>
  <sheetFormatPr defaultRowHeight="18.75"/>
  <sheetData>
    <row r="1" spans="2:3" ht="19.5" thickBot="1"/>
    <row r="2" spans="2:3" ht="19.5" thickBot="1">
      <c r="B2" t="s">
        <v>364</v>
      </c>
      <c r="C2" s="19" t="s">
        <v>73</v>
      </c>
    </row>
    <row r="3" spans="2:3" ht="20.25" thickTop="1" thickBot="1">
      <c r="B3" t="s">
        <v>365</v>
      </c>
      <c r="C3" s="29" t="s">
        <v>74</v>
      </c>
    </row>
    <row r="4" spans="2:3" ht="20.25" thickTop="1" thickBot="1">
      <c r="B4" t="s">
        <v>366</v>
      </c>
      <c r="C4" s="29" t="s">
        <v>75</v>
      </c>
    </row>
    <row r="5" spans="2:3" ht="20.25" thickTop="1" thickBot="1">
      <c r="B5" t="s">
        <v>367</v>
      </c>
      <c r="C5" s="29" t="s">
        <v>76</v>
      </c>
    </row>
    <row r="6" spans="2:3" ht="20.25" thickTop="1" thickBot="1">
      <c r="B6" t="s">
        <v>368</v>
      </c>
      <c r="C6" s="29" t="s">
        <v>77</v>
      </c>
    </row>
    <row r="7" spans="2:3" ht="20.25" thickTop="1" thickBot="1">
      <c r="B7" t="s">
        <v>369</v>
      </c>
      <c r="C7" s="29" t="s">
        <v>78</v>
      </c>
    </row>
    <row r="8" spans="2:3" ht="20.25" thickTop="1" thickBot="1">
      <c r="B8" t="s">
        <v>370</v>
      </c>
      <c r="C8" s="29" t="s">
        <v>79</v>
      </c>
    </row>
    <row r="9" spans="2:3" ht="20.25" thickTop="1" thickBot="1">
      <c r="B9" t="s">
        <v>371</v>
      </c>
      <c r="C9" s="29" t="s">
        <v>80</v>
      </c>
    </row>
    <row r="10" spans="2:3" ht="20.25" thickTop="1" thickBot="1">
      <c r="B10" t="s">
        <v>372</v>
      </c>
      <c r="C10" s="29" t="s">
        <v>81</v>
      </c>
    </row>
    <row r="11" spans="2:3" ht="20.25" thickTop="1" thickBot="1">
      <c r="B11" t="s">
        <v>373</v>
      </c>
      <c r="C11" s="74" t="s">
        <v>82</v>
      </c>
    </row>
    <row r="12" spans="2:3" ht="19.5" thickTop="1"/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0B73-476A-418D-BA6D-A006DEB0B8F2}">
  <sheetPr codeName="Sheet6"/>
  <dimension ref="A1:V20"/>
  <sheetViews>
    <sheetView zoomScale="85" zoomScaleNormal="85" workbookViewId="0">
      <selection activeCell="S2" sqref="S2"/>
    </sheetView>
  </sheetViews>
  <sheetFormatPr defaultRowHeight="13.5"/>
  <cols>
    <col min="1" max="16384" width="9" style="1"/>
  </cols>
  <sheetData>
    <row r="1" spans="1:22" s="10" customFormat="1" ht="40.5">
      <c r="A1" s="24" t="s">
        <v>51</v>
      </c>
      <c r="B1" s="25" t="s">
        <v>52</v>
      </c>
      <c r="C1" s="25" t="s">
        <v>6</v>
      </c>
      <c r="D1" s="25" t="s">
        <v>53</v>
      </c>
      <c r="E1" s="25" t="s">
        <v>54</v>
      </c>
      <c r="F1" s="25" t="s">
        <v>55</v>
      </c>
      <c r="G1" s="25" t="s">
        <v>56</v>
      </c>
      <c r="H1" s="25" t="s">
        <v>57</v>
      </c>
      <c r="I1" s="25" t="s">
        <v>58</v>
      </c>
      <c r="J1" s="25" t="s">
        <v>59</v>
      </c>
      <c r="K1" s="25" t="s">
        <v>147</v>
      </c>
      <c r="L1" s="25" t="s">
        <v>148</v>
      </c>
      <c r="M1" s="25" t="s">
        <v>149</v>
      </c>
      <c r="N1" s="25" t="s">
        <v>60</v>
      </c>
      <c r="O1" s="25" t="s">
        <v>61</v>
      </c>
      <c r="P1" s="25" t="s">
        <v>62</v>
      </c>
      <c r="Q1" s="25" t="s">
        <v>63</v>
      </c>
      <c r="R1" s="27" t="s">
        <v>64</v>
      </c>
      <c r="S1" s="25" t="s">
        <v>65</v>
      </c>
      <c r="T1" s="25" t="s">
        <v>66</v>
      </c>
      <c r="U1" s="25" t="s">
        <v>67</v>
      </c>
      <c r="V1" s="16" t="s">
        <v>68</v>
      </c>
    </row>
    <row r="2" spans="1:22">
      <c r="A2" s="12">
        <v>1</v>
      </c>
      <c r="B2" s="11">
        <f>B15</f>
        <v>6.85</v>
      </c>
      <c r="C2" s="11">
        <f>VALUE(SUBSTITUTE(B16, "F", "-0"))</f>
        <v>0.06</v>
      </c>
      <c r="D2" s="11">
        <f>B17</f>
        <v>0</v>
      </c>
      <c r="E2" s="11">
        <f>B18</f>
        <v>6</v>
      </c>
      <c r="F2" s="11">
        <f>B19</f>
        <v>7.13</v>
      </c>
      <c r="G2" s="11">
        <f>B2-MASTER!$E$3</f>
        <v>7.6219512195129901E-2</v>
      </c>
      <c r="H2" s="11">
        <f>IF(G2&lt;=-0.1, 5, IF(G2&lt;=-0.05, 4, IF(G2&lt;=0.05, 3, IF(G2&lt;=0.1, 2, 1))))</f>
        <v>2</v>
      </c>
      <c r="I2" s="11">
        <f>IF(C2&lt;=-0.05, 1, IF(C2&lt;0, 2, IF(C2&lt;=0.05, 5, IF(C2&lt;=0.12, 4, IF(C2&lt;=0.2, 2, 1)))))</f>
        <v>4</v>
      </c>
      <c r="J2" s="11">
        <f>IF(D2-$J$8&lt;=-0.3, 5, IF(D2-$J$8&lt;=-0.1, 4, IF(D2-$J$8&lt;=0.1, 3, IF(D2-$J$8&lt;=0.3, 2, 1))))</f>
        <v>3</v>
      </c>
      <c r="K2" s="11">
        <f>IF(E2-$K$8&lt;=-0.2, 5, IF(E2-$K$8&lt;=-0.05, 4, IF(E2-$K$8&lt;=0.05, 3, IF(E2-$K$8&lt;=0.2, 2, 1))))</f>
        <v>1</v>
      </c>
      <c r="L2" s="11">
        <f>IF(F2-$L$8&lt;=-0.04, 5, IF(F2-$L$8&lt;=-0.01, 4, IF(F2-$L$8&lt;=0.01, 3, IF(F2-$L$8&lt;=0.04, 2, 1))))</f>
        <v>2</v>
      </c>
      <c r="M2" s="11">
        <f t="shared" ref="M2:M7" si="0">H2 + J2 + K2 + L2</f>
        <v>8</v>
      </c>
      <c r="N2" s="11">
        <f t="shared" ref="N2:N7" si="1">I2 + L2</f>
        <v>6</v>
      </c>
      <c r="O2" s="11">
        <f t="shared" ref="O2:O7" si="2">J2 + K2</f>
        <v>4</v>
      </c>
      <c r="P2" s="11">
        <f>M2 - INPUT!R2</f>
        <v>-0.60500000000000043</v>
      </c>
      <c r="Q2" s="11">
        <f>M2 + N2 + O2</f>
        <v>18</v>
      </c>
      <c r="R2" s="28" cm="1">
        <f t="array" ref="R2">_xlfn.IFS(
  AND(A2=1, S2="超伸び型"), 3,
  AND(A2=1, S2="バランス"), 1,
  AND(A2=4, S2="超伸び型"), 4,
  AND(A2&gt;=2, S2="超伸び型"), 3,
  S2="差し型", 2,
  S2="攻め型", 2,
  TRUE, 0
)</f>
        <v>1</v>
      </c>
      <c r="S2" s="11" t="str" cm="1">
        <f t="array" ref="S2">_xlfn.IFS(
  L2=5, "超伸び型",
  AND(N2 &gt;= O2 + 2, H2 &gt;= 4), "攻め型",
  AND(O2 &gt;= N2 + 2, K2 &gt;= 4), "差し型",
  H2=5, "伸び型",
  TRUE, "バランス"
)</f>
        <v>バランス</v>
      </c>
      <c r="T2" s="11">
        <f>IF(OR(S2="超伸び型", S2="攻め型"), IF(L2 = _xlfn.MAXIFS($L$2:$L$7, $S$2:$S$7, S2), 1, 0), 0)</f>
        <v>0</v>
      </c>
      <c r="U2" s="11">
        <f>IF(
 COUNTIF($T$2:$T$7,1)&gt;0,
   IF(
     OR(
       A2 = INDEX($A$2:$A$7, MATCH(1,$T$2:$T$7,0)) - 1,
       A2 = INDEX($A$2:$A$7, MATCH(1,$T$2:$T$7,0)) + 1
     ),
     1,
     0
   ),
   IF(
     OR(
       A2 = INDEX($A$2:$A$7, MATCH(MAX($N$2:$N$7),$N$2:$N$7,0)) - 1,
       A2 = INDEX($A$2:$A$7, MATCH(MAX($N$2:$N$7),$N$2:$N$7,0)) + 1
     ),
     1,
     0
   )
)</f>
        <v>0</v>
      </c>
      <c r="V2" s="13">
        <f>Q2 + R2 + U2</f>
        <v>19</v>
      </c>
    </row>
    <row r="3" spans="1:22">
      <c r="A3" s="12">
        <v>2</v>
      </c>
      <c r="B3" s="11">
        <f>C15</f>
        <v>6.96</v>
      </c>
      <c r="C3" s="11">
        <f>VALUE(SUBSTITUTE(C16, "F", "-0"))</f>
        <v>0.03</v>
      </c>
      <c r="D3" s="11">
        <f>C17</f>
        <v>0</v>
      </c>
      <c r="E3" s="11">
        <f>C18</f>
        <v>5.6</v>
      </c>
      <c r="F3" s="11">
        <f>C19</f>
        <v>7.1</v>
      </c>
      <c r="G3" s="11">
        <f>B3-MASTER!$E$3</f>
        <v>0.18621951219513022</v>
      </c>
      <c r="H3" s="11">
        <f t="shared" ref="H3:H7" si="3">IF(G3&lt;=-0.1, 5, IF(G3&lt;=-0.05, 4, IF(G3&lt;=0.05, 3, IF(G3&lt;=0.1, 2, 1))))</f>
        <v>1</v>
      </c>
      <c r="I3" s="11">
        <f t="shared" ref="I3:I7" si="4">IF(C3&lt;=-0.05, 1, IF(C3&lt;0, 2, IF(C3&lt;=0.05, 5, IF(C3&lt;=0.12, 4, IF(C3&lt;=0.2, 2, 1)))))</f>
        <v>5</v>
      </c>
      <c r="J3" s="11">
        <f t="shared" ref="J3:J7" si="5">IF(D3-$J$8&lt;=-0.3, 5, IF(D3-$J$8&lt;=-0.1, 4, IF(D3-$J$8&lt;=0.1, 3, IF(D3-$J$8&lt;=0.3, 2, 1))))</f>
        <v>3</v>
      </c>
      <c r="K3" s="11">
        <f t="shared" ref="K3:K7" si="6">IF(E3-$K$8&lt;=-0.2, 5, IF(E3-$K$8&lt;=-0.05, 4, IF(E3-$K$8&lt;=0.05, 3, IF(E3-$K$8&lt;=0.2, 2, 1))))</f>
        <v>4</v>
      </c>
      <c r="L3" s="11">
        <f t="shared" ref="L3:L7" si="7">IF(F3-$L$8&lt;=-0.04, 5, IF(F3-$L$8&lt;=-0.01, 4, IF(F3-$L$8&lt;=0.01, 3, IF(F3-$L$8&lt;=0.04, 2, 1))))</f>
        <v>4</v>
      </c>
      <c r="M3" s="11">
        <f t="shared" si="0"/>
        <v>12</v>
      </c>
      <c r="N3" s="11">
        <f t="shared" si="1"/>
        <v>9</v>
      </c>
      <c r="O3" s="11">
        <f t="shared" si="2"/>
        <v>7</v>
      </c>
      <c r="P3" s="11">
        <f>M3 - INPUT!R3</f>
        <v>8.9175000000000004</v>
      </c>
      <c r="Q3" s="11">
        <f t="shared" ref="Q3:Q7" si="8">M3 + N3 + O3</f>
        <v>28</v>
      </c>
      <c r="R3" s="28" cm="1">
        <f t="array" ref="R3">_xlfn.IFS(
  AND(A3=1, S3="超伸び型"), 3,
  AND(A3=1, S3="バランス"), 1,
  AND(A3=4, S3="超伸び型"), 4,
  AND(A3&gt;=2, S3="超伸び型"), 3,
  S3="差し型", 2,
  S3="攻め型", 2,
  TRUE, 0
)</f>
        <v>0</v>
      </c>
      <c r="S3" s="11" t="str" cm="1">
        <f t="array" ref="S3">_xlfn.IFS(
  L3=5, "超伸び型",
  AND(N3 &gt;= O3 + 2, H3 &gt;= 4), "攻め型",
  AND(O3 &gt;= N3 + 2, K3 &gt;= 4), "差し型",
  H3=5, "伸び型",
  TRUE, "バランス"
)</f>
        <v>バランス</v>
      </c>
      <c r="T3" s="11">
        <f t="shared" ref="T3:T7" si="9">IF(OR(S3="超伸び型", S3="攻め型"), IF(L3 = _xlfn.MAXIFS($L$2:$L$7, $S$2:$S$7, S3), 1, 0), 0)</f>
        <v>0</v>
      </c>
      <c r="U3" s="11">
        <f t="shared" ref="U3:U7" si="10">IF(
 COUNTIF($T$2:$T$7,1)&gt;0,
   IF(
     OR(
       A3 = INDEX($A$2:$A$7, MATCH(1,$T$2:$T$7,0)) - 1,
       A3 = INDEX($A$2:$A$7, MATCH(1,$T$2:$T$7,0)) + 1
     ),
     1,
     0
   ),
   IF(
     OR(
       A3 = INDEX($A$2:$A$7, MATCH(MAX($N$2:$N$7),$N$2:$N$7,0)) - 1,
       A3 = INDEX($A$2:$A$7, MATCH(MAX($N$2:$N$7),$N$2:$N$7,0)) + 1
     ),
     1,
     0
   )
)</f>
        <v>0</v>
      </c>
      <c r="V3" s="13">
        <f>Q3 + R3 + U3</f>
        <v>28</v>
      </c>
    </row>
    <row r="4" spans="1:22">
      <c r="A4" s="12">
        <v>3</v>
      </c>
      <c r="B4" s="11">
        <f>D15</f>
        <v>6.98</v>
      </c>
      <c r="C4" s="11">
        <f>VALUE(SUBSTITUTE(D16, "F", "-0"))</f>
        <v>0.02</v>
      </c>
      <c r="D4" s="11">
        <f>D17</f>
        <v>0</v>
      </c>
      <c r="E4" s="11">
        <f>D18</f>
        <v>5.63</v>
      </c>
      <c r="F4" s="11">
        <f>D19</f>
        <v>7.13</v>
      </c>
      <c r="G4" s="11">
        <f>B4-MASTER!$E$3</f>
        <v>0.20621951219513068</v>
      </c>
      <c r="H4" s="11">
        <f t="shared" si="3"/>
        <v>1</v>
      </c>
      <c r="I4" s="11">
        <f t="shared" si="4"/>
        <v>5</v>
      </c>
      <c r="J4" s="11">
        <f t="shared" si="5"/>
        <v>3</v>
      </c>
      <c r="K4" s="11">
        <f t="shared" si="6"/>
        <v>4</v>
      </c>
      <c r="L4" s="11">
        <f t="shared" si="7"/>
        <v>2</v>
      </c>
      <c r="M4" s="11">
        <f t="shared" si="0"/>
        <v>10</v>
      </c>
      <c r="N4" s="11">
        <f t="shared" si="1"/>
        <v>7</v>
      </c>
      <c r="O4" s="11">
        <f t="shared" si="2"/>
        <v>7</v>
      </c>
      <c r="P4" s="11">
        <f>M4 - INPUT!R4</f>
        <v>6.6174999999999997</v>
      </c>
      <c r="Q4" s="11">
        <f t="shared" si="8"/>
        <v>24</v>
      </c>
      <c r="R4" s="28" cm="1">
        <f t="array" ref="R4">_xlfn.IFS(
  AND(A4=1, S4="超伸び型"), 3,
  AND(A4=1, S4="バランス"), 1,
  AND(A4=4, S4="超伸び型"), 4,
  AND(A4&gt;=2, S4="超伸び型"), 3,
  S4="差し型", 2,
  S4="攻め型", 2,
  TRUE, 0
)</f>
        <v>0</v>
      </c>
      <c r="S4" s="11" t="str" cm="1">
        <f t="array" ref="S4">_xlfn.IFS(
  L4=5, "超伸び型",
  AND(N4 &gt;= O4 + 2, H4 &gt;= 4), "攻め型",
  AND(O4 &gt;= N4 + 2, K4 &gt;= 4), "差し型",
  H4=5, "伸び型",
  TRUE, "バランス"
)</f>
        <v>バランス</v>
      </c>
      <c r="T4" s="11">
        <f t="shared" si="9"/>
        <v>0</v>
      </c>
      <c r="U4" s="11">
        <f t="shared" si="10"/>
        <v>1</v>
      </c>
      <c r="V4" s="13">
        <f t="shared" ref="V4:V7" si="11">Q4 + R4 + U4</f>
        <v>25</v>
      </c>
    </row>
    <row r="5" spans="1:22">
      <c r="A5" s="12">
        <v>4</v>
      </c>
      <c r="B5" s="11">
        <f>E15</f>
        <v>6.93</v>
      </c>
      <c r="C5" s="11">
        <f>VALUE(SUBSTITUTE(E16, "F", "-0"))</f>
        <v>-0.02</v>
      </c>
      <c r="D5" s="11">
        <f>E17</f>
        <v>0</v>
      </c>
      <c r="E5" s="11">
        <f>E18</f>
        <v>5.73</v>
      </c>
      <c r="F5" s="11">
        <f>E19</f>
        <v>7.07</v>
      </c>
      <c r="G5" s="11">
        <f>B5-MASTER!$E$3</f>
        <v>0.15621951219512997</v>
      </c>
      <c r="H5" s="11">
        <f t="shared" si="3"/>
        <v>1</v>
      </c>
      <c r="I5" s="11">
        <f t="shared" si="4"/>
        <v>2</v>
      </c>
      <c r="J5" s="11">
        <f t="shared" si="5"/>
        <v>3</v>
      </c>
      <c r="K5" s="11">
        <f t="shared" si="6"/>
        <v>3</v>
      </c>
      <c r="L5" s="11">
        <f t="shared" si="7"/>
        <v>5</v>
      </c>
      <c r="M5" s="11">
        <f t="shared" si="0"/>
        <v>12</v>
      </c>
      <c r="N5" s="11">
        <f t="shared" si="1"/>
        <v>7</v>
      </c>
      <c r="O5" s="11">
        <f t="shared" si="2"/>
        <v>6</v>
      </c>
      <c r="P5" s="11">
        <f>M5 - INPUT!R5</f>
        <v>9.0350000000000001</v>
      </c>
      <c r="Q5" s="11">
        <f t="shared" si="8"/>
        <v>25</v>
      </c>
      <c r="R5" s="28" cm="1">
        <f t="array" ref="R5">_xlfn.IFS(
  AND(A5=1, S5="超伸び型"), 3,
  AND(A5=1, S5="バランス"), 1,
  AND(A5=4, S5="超伸び型"), 4,
  AND(A5&gt;=2, S5="超伸び型"), 3,
  S5="差し型", 2,
  S5="攻め型", 2,
  TRUE, 0
)</f>
        <v>4</v>
      </c>
      <c r="S5" s="11" t="str" cm="1">
        <f t="array" ref="S5">_xlfn.IFS(
  L5=5, "超伸び型",
  AND(N5 &gt;= O5 + 2, H5 &gt;= 4), "攻め型",
  AND(O5 &gt;= N5 + 2, K5 &gt;= 4), "差し型",
  H5=5, "伸び型",
  TRUE, "バランス"
)</f>
        <v>超伸び型</v>
      </c>
      <c r="T5" s="11">
        <f t="shared" si="9"/>
        <v>1</v>
      </c>
      <c r="U5" s="11">
        <f t="shared" si="10"/>
        <v>0</v>
      </c>
      <c r="V5" s="13">
        <f t="shared" si="11"/>
        <v>29</v>
      </c>
    </row>
    <row r="6" spans="1:22">
      <c r="A6" s="12">
        <v>5</v>
      </c>
      <c r="B6" s="11">
        <f>F15</f>
        <v>6.92</v>
      </c>
      <c r="C6" s="11">
        <f>VALUE(SUBSTITUTE(F16, "F", "-0"))</f>
        <v>0.01</v>
      </c>
      <c r="D6" s="11">
        <f>F17</f>
        <v>0</v>
      </c>
      <c r="E6" s="11">
        <f>F18</f>
        <v>5.83</v>
      </c>
      <c r="F6" s="11">
        <f>F19</f>
        <v>7.11</v>
      </c>
      <c r="G6" s="11">
        <f>B6-MASTER!$E$3</f>
        <v>0.14621951219513019</v>
      </c>
      <c r="H6" s="11">
        <f t="shared" si="3"/>
        <v>1</v>
      </c>
      <c r="I6" s="11">
        <f t="shared" si="4"/>
        <v>5</v>
      </c>
      <c r="J6" s="11">
        <f t="shared" si="5"/>
        <v>3</v>
      </c>
      <c r="K6" s="11">
        <f t="shared" si="6"/>
        <v>2</v>
      </c>
      <c r="L6" s="11">
        <f t="shared" si="7"/>
        <v>3</v>
      </c>
      <c r="M6" s="11">
        <f t="shared" si="0"/>
        <v>9</v>
      </c>
      <c r="N6" s="11">
        <f t="shared" si="1"/>
        <v>8</v>
      </c>
      <c r="O6" s="11">
        <f t="shared" si="2"/>
        <v>5</v>
      </c>
      <c r="P6" s="11">
        <f>M6 - INPUT!R6</f>
        <v>4.3275000000000006</v>
      </c>
      <c r="Q6" s="11">
        <f t="shared" si="8"/>
        <v>22</v>
      </c>
      <c r="R6" s="28" cm="1">
        <f t="array" ref="R6">_xlfn.IFS(
  AND(A6=1, S6="超伸び型"), 3,
  AND(A6=1, S6="バランス"), 1,
  AND(A6=4, S6="超伸び型"), 4,
  AND(A6&gt;=2, S6="超伸び型"), 3,
  S6="差し型", 2,
  S6="攻め型", 2,
  TRUE, 0
)</f>
        <v>0</v>
      </c>
      <c r="S6" s="11" t="str" cm="1">
        <f t="array" ref="S6">_xlfn.IFS(
  L6=5, "超伸び型",
  AND(N6 &gt;= O6 + 2, H6 &gt;= 4), "攻め型",
  AND(O6 &gt;= N6 + 2, K6 &gt;= 4), "差し型",
  H6=5, "伸び型",
  TRUE, "バランス"
)</f>
        <v>バランス</v>
      </c>
      <c r="T6" s="11">
        <f t="shared" si="9"/>
        <v>0</v>
      </c>
      <c r="U6" s="11">
        <f t="shared" si="10"/>
        <v>1</v>
      </c>
      <c r="V6" s="13">
        <f t="shared" si="11"/>
        <v>23</v>
      </c>
    </row>
    <row r="7" spans="1:22" ht="14.25" thickBot="1">
      <c r="A7" s="14">
        <v>6</v>
      </c>
      <c r="B7" s="26">
        <f>G15</f>
        <v>6.9</v>
      </c>
      <c r="C7" s="26">
        <f>VALUE(SUBSTITUTE(G16, "F", "-0"))</f>
        <v>7.0000000000000007E-2</v>
      </c>
      <c r="D7" s="26">
        <f>G17</f>
        <v>0</v>
      </c>
      <c r="E7" s="26">
        <f>G18</f>
        <v>5.73</v>
      </c>
      <c r="F7" s="26">
        <f>G19</f>
        <v>7.13</v>
      </c>
      <c r="G7" s="26">
        <f>B7-MASTER!$E$3</f>
        <v>0.12621951219513061</v>
      </c>
      <c r="H7" s="26">
        <f t="shared" si="3"/>
        <v>1</v>
      </c>
      <c r="I7" s="26">
        <f t="shared" si="4"/>
        <v>4</v>
      </c>
      <c r="J7" s="26">
        <f t="shared" si="5"/>
        <v>3</v>
      </c>
      <c r="K7" s="26">
        <f t="shared" si="6"/>
        <v>3</v>
      </c>
      <c r="L7" s="26">
        <f t="shared" si="7"/>
        <v>2</v>
      </c>
      <c r="M7" s="26">
        <f t="shared" si="0"/>
        <v>9</v>
      </c>
      <c r="N7" s="26">
        <f t="shared" si="1"/>
        <v>6</v>
      </c>
      <c r="O7" s="26">
        <f t="shared" si="2"/>
        <v>6</v>
      </c>
      <c r="P7" s="26">
        <f>M7 - INPUT!R7</f>
        <v>5.7324999999999999</v>
      </c>
      <c r="Q7" s="26">
        <f t="shared" si="8"/>
        <v>21</v>
      </c>
      <c r="R7" s="73" cm="1">
        <f t="array" ref="R7">_xlfn.IFS(
  AND(A7=1, S7="超伸び型"), 3,
  AND(A7=1, S7="バランス"), 1,
  AND(A7=4, S7="超伸び型"), 4,
  AND(A7&gt;=2, S7="超伸び型"), 3,
  S7="差し型", 2,
  S7="攻め型", 2,
  TRUE, 0
)</f>
        <v>0</v>
      </c>
      <c r="S7" s="26" t="str" cm="1">
        <f t="array" ref="S7">_xlfn.IFS(
  L7=5, "超伸び型",
  AND(N7 &gt;= O7 + 2, H7 &gt;= 4), "攻め型",
  AND(O7 &gt;= N7 + 2, K7 &gt;= 4), "差し型",
  H7=5, "伸び型",
  TRUE, "バランス"
)</f>
        <v>バランス</v>
      </c>
      <c r="T7" s="26">
        <f t="shared" si="9"/>
        <v>0</v>
      </c>
      <c r="U7" s="26">
        <f t="shared" si="10"/>
        <v>0</v>
      </c>
      <c r="V7" s="15">
        <f t="shared" si="11"/>
        <v>21</v>
      </c>
    </row>
    <row r="8" spans="1:22" ht="14.25" thickBot="1">
      <c r="I8" s="1" t="s">
        <v>146</v>
      </c>
      <c r="J8" s="70">
        <f>AVERAGE(D$2:D$7)</f>
        <v>0</v>
      </c>
      <c r="K8" s="71">
        <f t="shared" ref="K8:L8" si="12">AVERAGE(E$2:E$7)</f>
        <v>5.753333333333333</v>
      </c>
      <c r="L8" s="72">
        <f t="shared" si="12"/>
        <v>7.1116666666666672</v>
      </c>
    </row>
    <row r="11" spans="1:22" ht="14.25" thickBot="1">
      <c r="A11" s="1" t="s">
        <v>69</v>
      </c>
    </row>
    <row r="12" spans="1:22">
      <c r="A12" s="2" t="s">
        <v>70</v>
      </c>
      <c r="B12" s="3"/>
      <c r="C12" s="3"/>
      <c r="D12" s="3"/>
      <c r="E12" s="3"/>
      <c r="F12" s="3"/>
      <c r="G12" s="3"/>
      <c r="H12" s="4"/>
    </row>
    <row r="13" spans="1:22">
      <c r="A13" s="5" t="s">
        <v>69</v>
      </c>
      <c r="H13" s="6"/>
    </row>
    <row r="14" spans="1:22">
      <c r="A14" s="5" t="s">
        <v>71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6"/>
    </row>
    <row r="15" spans="1:22">
      <c r="A15" s="5" t="s">
        <v>72</v>
      </c>
      <c r="B15" s="1">
        <v>6.85</v>
      </c>
      <c r="C15" s="1">
        <v>6.96</v>
      </c>
      <c r="D15" s="1">
        <v>6.98</v>
      </c>
      <c r="E15" s="1">
        <v>6.93</v>
      </c>
      <c r="F15" s="1">
        <v>6.92</v>
      </c>
      <c r="G15" s="1">
        <v>6.9</v>
      </c>
      <c r="H15" s="6"/>
    </row>
    <row r="16" spans="1:22">
      <c r="A16" s="5" t="s">
        <v>6</v>
      </c>
      <c r="B16" s="1">
        <v>0.06</v>
      </c>
      <c r="C16" s="1">
        <v>0.03</v>
      </c>
      <c r="D16" s="1">
        <v>0.02</v>
      </c>
      <c r="E16" s="1" t="s">
        <v>178</v>
      </c>
      <c r="F16" s="1">
        <v>0.01</v>
      </c>
      <c r="G16" s="1">
        <v>7.0000000000000007E-2</v>
      </c>
      <c r="H16" s="6"/>
    </row>
    <row r="17" spans="1:8">
      <c r="A17" s="5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6"/>
    </row>
    <row r="18" spans="1:8">
      <c r="A18" s="5" t="s">
        <v>54</v>
      </c>
      <c r="B18" s="1">
        <v>6</v>
      </c>
      <c r="C18" s="1">
        <v>5.6</v>
      </c>
      <c r="D18" s="1">
        <v>5.63</v>
      </c>
      <c r="E18" s="1">
        <v>5.73</v>
      </c>
      <c r="F18" s="1">
        <v>5.83</v>
      </c>
      <c r="G18" s="1">
        <v>5.73</v>
      </c>
      <c r="H18" s="6"/>
    </row>
    <row r="19" spans="1:8">
      <c r="A19" s="5" t="s">
        <v>55</v>
      </c>
      <c r="B19" s="1">
        <v>7.13</v>
      </c>
      <c r="C19" s="1">
        <v>7.1</v>
      </c>
      <c r="D19" s="1">
        <v>7.13</v>
      </c>
      <c r="E19" s="1">
        <v>7.07</v>
      </c>
      <c r="F19" s="1">
        <v>7.11</v>
      </c>
      <c r="G19" s="1">
        <v>7.13</v>
      </c>
      <c r="H19" s="6"/>
    </row>
    <row r="20" spans="1:8" ht="14.25" thickBot="1">
      <c r="A20" s="7"/>
      <c r="B20" s="8"/>
      <c r="C20" s="8"/>
      <c r="D20" s="8"/>
      <c r="E20" s="8"/>
      <c r="F20" s="8"/>
      <c r="G20" s="8"/>
      <c r="H20" s="9"/>
    </row>
  </sheetData>
  <phoneticPr fontId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969C-8539-49DF-80E9-20D610F37F5A}">
  <sheetPr codeName="Sheet13"/>
  <dimension ref="A1:V20"/>
  <sheetViews>
    <sheetView topLeftCell="N1" zoomScale="70" zoomScaleNormal="70" workbookViewId="0">
      <selection activeCell="N1" sqref="N1"/>
    </sheetView>
  </sheetViews>
  <sheetFormatPr defaultColWidth="133.25" defaultRowHeight="13.5"/>
  <cols>
    <col min="1" max="1" width="9.5" style="1" bestFit="1" customWidth="1"/>
    <col min="2" max="2" width="11.625" style="1" bestFit="1" customWidth="1"/>
    <col min="3" max="3" width="6.5" style="1" bestFit="1" customWidth="1"/>
    <col min="4" max="4" width="5.5" style="1" bestFit="1" customWidth="1"/>
    <col min="5" max="5" width="7.5" style="1" bestFit="1" customWidth="1"/>
    <col min="6" max="6" width="5.5" style="1" bestFit="1" customWidth="1"/>
    <col min="7" max="7" width="20.5" style="1" bestFit="1" customWidth="1"/>
    <col min="8" max="8" width="78.25" style="1" bestFit="1" customWidth="1"/>
    <col min="9" max="9" width="92.625" style="1" bestFit="1" customWidth="1"/>
    <col min="10" max="10" width="98.25" style="1" bestFit="1" customWidth="1"/>
    <col min="11" max="11" width="100.375" style="1" bestFit="1" customWidth="1"/>
    <col min="12" max="12" width="102.625" style="1" bestFit="1" customWidth="1"/>
    <col min="13" max="13" width="20.5" style="1" bestFit="1" customWidth="1"/>
    <col min="14" max="14" width="22.75" style="1" bestFit="1" customWidth="1"/>
    <col min="15" max="15" width="11.625" style="1" bestFit="1" customWidth="1"/>
    <col min="16" max="17" width="16.125" style="1" bestFit="1" customWidth="1"/>
    <col min="18" max="18" width="35" style="1" bestFit="1" customWidth="1"/>
    <col min="19" max="19" width="43.875" style="1" bestFit="1" customWidth="1"/>
    <col min="20" max="20" width="97.125" style="1" bestFit="1" customWidth="1"/>
    <col min="21" max="21" width="76" style="1" bestFit="1" customWidth="1"/>
    <col min="22" max="22" width="20.5" style="1" bestFit="1" customWidth="1"/>
    <col min="23" max="16384" width="133.25" style="1"/>
  </cols>
  <sheetData>
    <row r="1" spans="1:22" s="10" customFormat="1">
      <c r="A1" s="24" t="s">
        <v>51</v>
      </c>
      <c r="B1" s="25" t="s">
        <v>52</v>
      </c>
      <c r="C1" s="25" t="s">
        <v>6</v>
      </c>
      <c r="D1" s="25" t="s">
        <v>53</v>
      </c>
      <c r="E1" s="25" t="s">
        <v>54</v>
      </c>
      <c r="F1" s="25" t="s">
        <v>55</v>
      </c>
      <c r="G1" s="25" t="s">
        <v>56</v>
      </c>
      <c r="H1" s="25" t="s">
        <v>57</v>
      </c>
      <c r="I1" s="25" t="s">
        <v>496</v>
      </c>
      <c r="J1" s="25" t="s">
        <v>59</v>
      </c>
      <c r="K1" s="25" t="s">
        <v>147</v>
      </c>
      <c r="L1" s="25" t="s">
        <v>148</v>
      </c>
      <c r="M1" s="25" t="s">
        <v>149</v>
      </c>
      <c r="N1" s="25" t="s">
        <v>60</v>
      </c>
      <c r="O1" s="25" t="s">
        <v>61</v>
      </c>
      <c r="P1" s="25" t="s">
        <v>62</v>
      </c>
      <c r="Q1" s="25" t="s">
        <v>63</v>
      </c>
      <c r="R1" s="27" t="s">
        <v>64</v>
      </c>
      <c r="S1" s="25" t="s">
        <v>65</v>
      </c>
      <c r="T1" s="25" t="s">
        <v>66</v>
      </c>
      <c r="U1" s="25" t="s">
        <v>67</v>
      </c>
      <c r="V1" s="16" t="s">
        <v>68</v>
      </c>
    </row>
    <row r="2" spans="1:22" ht="256.5">
      <c r="A2" s="12">
        <v>1</v>
      </c>
      <c r="B2" s="11">
        <f>B15</f>
        <v>6.85</v>
      </c>
      <c r="C2" s="11">
        <f>VALUE(SUBSTITUTE(B16, "F", "-0"))</f>
        <v>0.06</v>
      </c>
      <c r="D2" s="11">
        <f>B17</f>
        <v>0</v>
      </c>
      <c r="E2" s="11">
        <f>B18</f>
        <v>6</v>
      </c>
      <c r="F2" s="11">
        <f>B19</f>
        <v>7.13</v>
      </c>
      <c r="G2" s="11">
        <f>B2-MASTER!$E$3</f>
        <v>7.6219512195129901E-2</v>
      </c>
      <c r="H2" s="102" t="s">
        <v>412</v>
      </c>
      <c r="I2" s="102" t="s">
        <v>418</v>
      </c>
      <c r="J2" s="102" t="s">
        <v>424</v>
      </c>
      <c r="K2" s="102" t="s">
        <v>430</v>
      </c>
      <c r="L2" s="102" t="s">
        <v>436</v>
      </c>
      <c r="M2" s="102" t="s">
        <v>442</v>
      </c>
      <c r="N2" s="102" t="s">
        <v>448</v>
      </c>
      <c r="O2" s="102" t="s">
        <v>297</v>
      </c>
      <c r="P2" s="102" t="s">
        <v>454</v>
      </c>
      <c r="Q2" s="102" t="s">
        <v>460</v>
      </c>
      <c r="R2" s="110" t="s">
        <v>466</v>
      </c>
      <c r="S2" s="104" t="s">
        <v>472</v>
      </c>
      <c r="T2" s="102" t="s">
        <v>478</v>
      </c>
      <c r="U2" s="104" t="s">
        <v>484</v>
      </c>
      <c r="V2" s="108" t="s">
        <v>490</v>
      </c>
    </row>
    <row r="3" spans="1:22" ht="256.5">
      <c r="A3" s="12">
        <v>2</v>
      </c>
      <c r="B3" s="11">
        <f>C15</f>
        <v>6.96</v>
      </c>
      <c r="C3" s="11">
        <f>VALUE(SUBSTITUTE(C16, "F", "-0"))</f>
        <v>0.03</v>
      </c>
      <c r="D3" s="11">
        <f>C17</f>
        <v>0</v>
      </c>
      <c r="E3" s="11">
        <f>C18</f>
        <v>5.6</v>
      </c>
      <c r="F3" s="11">
        <f>C19</f>
        <v>7.1</v>
      </c>
      <c r="G3" s="11">
        <f>B3-MASTER!$E$3</f>
        <v>0.18621951219513022</v>
      </c>
      <c r="H3" s="102" t="s">
        <v>413</v>
      </c>
      <c r="I3" s="102" t="s">
        <v>419</v>
      </c>
      <c r="J3" s="102" t="s">
        <v>425</v>
      </c>
      <c r="K3" s="102" t="s">
        <v>431</v>
      </c>
      <c r="L3" s="102" t="s">
        <v>437</v>
      </c>
      <c r="M3" s="102" t="s">
        <v>443</v>
      </c>
      <c r="N3" s="102" t="s">
        <v>449</v>
      </c>
      <c r="O3" s="102" t="s">
        <v>298</v>
      </c>
      <c r="P3" s="102" t="s">
        <v>455</v>
      </c>
      <c r="Q3" s="102" t="s">
        <v>461</v>
      </c>
      <c r="R3" s="110" t="s">
        <v>467</v>
      </c>
      <c r="S3" s="104" t="s">
        <v>473</v>
      </c>
      <c r="T3" s="102" t="s">
        <v>479</v>
      </c>
      <c r="U3" s="104" t="s">
        <v>485</v>
      </c>
      <c r="V3" s="108" t="s">
        <v>491</v>
      </c>
    </row>
    <row r="4" spans="1:22" ht="256.5">
      <c r="A4" s="12">
        <v>3</v>
      </c>
      <c r="B4" s="11">
        <f>D15</f>
        <v>6.98</v>
      </c>
      <c r="C4" s="11">
        <f>VALUE(SUBSTITUTE(D16, "F", "-0"))</f>
        <v>0.02</v>
      </c>
      <c r="D4" s="11">
        <f>D17</f>
        <v>0</v>
      </c>
      <c r="E4" s="11">
        <f>D18</f>
        <v>5.63</v>
      </c>
      <c r="F4" s="11">
        <f>D19</f>
        <v>7.13</v>
      </c>
      <c r="G4" s="11">
        <f>B4-MASTER!$E$3</f>
        <v>0.20621951219513068</v>
      </c>
      <c r="H4" s="102" t="s">
        <v>414</v>
      </c>
      <c r="I4" s="102" t="s">
        <v>420</v>
      </c>
      <c r="J4" s="102" t="s">
        <v>426</v>
      </c>
      <c r="K4" s="102" t="s">
        <v>432</v>
      </c>
      <c r="L4" s="102" t="s">
        <v>438</v>
      </c>
      <c r="M4" s="102" t="s">
        <v>444</v>
      </c>
      <c r="N4" s="102" t="s">
        <v>450</v>
      </c>
      <c r="O4" s="102" t="s">
        <v>299</v>
      </c>
      <c r="P4" s="102" t="s">
        <v>456</v>
      </c>
      <c r="Q4" s="102" t="s">
        <v>462</v>
      </c>
      <c r="R4" s="110" t="s">
        <v>468</v>
      </c>
      <c r="S4" s="104" t="s">
        <v>474</v>
      </c>
      <c r="T4" s="102" t="s">
        <v>480</v>
      </c>
      <c r="U4" s="104" t="s">
        <v>486</v>
      </c>
      <c r="V4" s="108" t="s">
        <v>492</v>
      </c>
    </row>
    <row r="5" spans="1:22" ht="256.5">
      <c r="A5" s="12">
        <v>4</v>
      </c>
      <c r="B5" s="11">
        <f>E15</f>
        <v>6.93</v>
      </c>
      <c r="C5" s="11">
        <f>VALUE(SUBSTITUTE(E16, "F", "-0"))</f>
        <v>-0.02</v>
      </c>
      <c r="D5" s="11">
        <f>E17</f>
        <v>0</v>
      </c>
      <c r="E5" s="11">
        <f>E18</f>
        <v>5.73</v>
      </c>
      <c r="F5" s="11">
        <f>E19</f>
        <v>7.07</v>
      </c>
      <c r="G5" s="11">
        <f>B5-MASTER!$E$3</f>
        <v>0.15621951219512997</v>
      </c>
      <c r="H5" s="102" t="s">
        <v>415</v>
      </c>
      <c r="I5" s="102" t="s">
        <v>421</v>
      </c>
      <c r="J5" s="102" t="s">
        <v>427</v>
      </c>
      <c r="K5" s="102" t="s">
        <v>433</v>
      </c>
      <c r="L5" s="102" t="s">
        <v>439</v>
      </c>
      <c r="M5" s="102" t="s">
        <v>445</v>
      </c>
      <c r="N5" s="102" t="s">
        <v>451</v>
      </c>
      <c r="O5" s="102" t="s">
        <v>300</v>
      </c>
      <c r="P5" s="102" t="s">
        <v>457</v>
      </c>
      <c r="Q5" s="102" t="s">
        <v>463</v>
      </c>
      <c r="R5" s="110" t="s">
        <v>469</v>
      </c>
      <c r="S5" s="104" t="s">
        <v>475</v>
      </c>
      <c r="T5" s="102" t="s">
        <v>481</v>
      </c>
      <c r="U5" s="104" t="s">
        <v>487</v>
      </c>
      <c r="V5" s="108" t="s">
        <v>493</v>
      </c>
    </row>
    <row r="6" spans="1:22" ht="256.5">
      <c r="A6" s="12">
        <v>5</v>
      </c>
      <c r="B6" s="11">
        <f>F15</f>
        <v>6.92</v>
      </c>
      <c r="C6" s="11">
        <f>VALUE(SUBSTITUTE(F16, "F", "-0"))</f>
        <v>0.01</v>
      </c>
      <c r="D6" s="11">
        <f>F17</f>
        <v>0</v>
      </c>
      <c r="E6" s="11">
        <f>F18</f>
        <v>5.83</v>
      </c>
      <c r="F6" s="11">
        <f>F19</f>
        <v>7.11</v>
      </c>
      <c r="G6" s="11">
        <f>B6-MASTER!$E$3</f>
        <v>0.14621951219513019</v>
      </c>
      <c r="H6" s="102" t="s">
        <v>416</v>
      </c>
      <c r="I6" s="102" t="s">
        <v>422</v>
      </c>
      <c r="J6" s="102" t="s">
        <v>428</v>
      </c>
      <c r="K6" s="102" t="s">
        <v>434</v>
      </c>
      <c r="L6" s="102" t="s">
        <v>440</v>
      </c>
      <c r="M6" s="102" t="s">
        <v>446</v>
      </c>
      <c r="N6" s="102" t="s">
        <v>452</v>
      </c>
      <c r="O6" s="102" t="s">
        <v>301</v>
      </c>
      <c r="P6" s="102" t="s">
        <v>458</v>
      </c>
      <c r="Q6" s="102" t="s">
        <v>464</v>
      </c>
      <c r="R6" s="110" t="s">
        <v>470</v>
      </c>
      <c r="S6" s="104" t="s">
        <v>476</v>
      </c>
      <c r="T6" s="102" t="s">
        <v>482</v>
      </c>
      <c r="U6" s="104" t="s">
        <v>488</v>
      </c>
      <c r="V6" s="108" t="s">
        <v>494</v>
      </c>
    </row>
    <row r="7" spans="1:22" ht="257.25" thickBot="1">
      <c r="A7" s="14">
        <v>6</v>
      </c>
      <c r="B7" s="26">
        <f>G15</f>
        <v>6.9</v>
      </c>
      <c r="C7" s="26">
        <f>VALUE(SUBSTITUTE(G16, "F", "-0"))</f>
        <v>7.0000000000000007E-2</v>
      </c>
      <c r="D7" s="26">
        <f>G17</f>
        <v>0</v>
      </c>
      <c r="E7" s="26">
        <f>G18</f>
        <v>5.73</v>
      </c>
      <c r="F7" s="26">
        <f>G19</f>
        <v>7.13</v>
      </c>
      <c r="G7" s="26">
        <f>B7-MASTER!$E$3</f>
        <v>0.12621951219513061</v>
      </c>
      <c r="H7" s="103" t="s">
        <v>417</v>
      </c>
      <c r="I7" s="103" t="s">
        <v>423</v>
      </c>
      <c r="J7" s="103" t="s">
        <v>429</v>
      </c>
      <c r="K7" s="103" t="s">
        <v>435</v>
      </c>
      <c r="L7" s="103" t="s">
        <v>441</v>
      </c>
      <c r="M7" s="103" t="s">
        <v>447</v>
      </c>
      <c r="N7" s="103" t="s">
        <v>453</v>
      </c>
      <c r="O7" s="103" t="s">
        <v>302</v>
      </c>
      <c r="P7" s="103" t="s">
        <v>459</v>
      </c>
      <c r="Q7" s="103" t="s">
        <v>465</v>
      </c>
      <c r="R7" s="111" t="s">
        <v>471</v>
      </c>
      <c r="S7" s="105" t="s">
        <v>477</v>
      </c>
      <c r="T7" s="103" t="s">
        <v>483</v>
      </c>
      <c r="U7" s="105" t="s">
        <v>489</v>
      </c>
      <c r="V7" s="109" t="s">
        <v>495</v>
      </c>
    </row>
    <row r="8" spans="1:22" ht="14.25" thickBot="1">
      <c r="I8" s="1" t="s">
        <v>146</v>
      </c>
      <c r="J8" s="70">
        <f>AVERAGE(D$2:D$7)</f>
        <v>0</v>
      </c>
      <c r="K8" s="71">
        <f t="shared" ref="K8:L8" si="0">AVERAGE(E$2:E$7)</f>
        <v>5.753333333333333</v>
      </c>
      <c r="L8" s="72">
        <f t="shared" si="0"/>
        <v>7.1116666666666672</v>
      </c>
    </row>
    <row r="11" spans="1:22" ht="14.25" thickBot="1">
      <c r="A11" s="1" t="s">
        <v>69</v>
      </c>
    </row>
    <row r="12" spans="1:22">
      <c r="A12" s="2" t="s">
        <v>70</v>
      </c>
      <c r="B12" s="3"/>
      <c r="C12" s="3"/>
      <c r="D12" s="3"/>
      <c r="E12" s="3"/>
      <c r="F12" s="3"/>
      <c r="G12" s="3"/>
      <c r="H12" s="4"/>
    </row>
    <row r="13" spans="1:22">
      <c r="A13" s="5" t="s">
        <v>69</v>
      </c>
      <c r="H13" s="6"/>
    </row>
    <row r="14" spans="1:22">
      <c r="A14" s="5" t="s">
        <v>71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6"/>
    </row>
    <row r="15" spans="1:22">
      <c r="A15" s="5" t="s">
        <v>72</v>
      </c>
      <c r="B15" s="1">
        <v>6.85</v>
      </c>
      <c r="C15" s="1">
        <v>6.96</v>
      </c>
      <c r="D15" s="1">
        <v>6.98</v>
      </c>
      <c r="E15" s="1">
        <v>6.93</v>
      </c>
      <c r="F15" s="1">
        <v>6.92</v>
      </c>
      <c r="G15" s="1">
        <v>6.9</v>
      </c>
      <c r="H15" s="6"/>
    </row>
    <row r="16" spans="1:22">
      <c r="A16" s="5" t="s">
        <v>6</v>
      </c>
      <c r="B16" s="1">
        <v>0.06</v>
      </c>
      <c r="C16" s="1">
        <v>0.03</v>
      </c>
      <c r="D16" s="1">
        <v>0.02</v>
      </c>
      <c r="E16" s="1" t="s">
        <v>178</v>
      </c>
      <c r="F16" s="1">
        <v>0.01</v>
      </c>
      <c r="G16" s="1">
        <v>7.0000000000000007E-2</v>
      </c>
      <c r="H16" s="6"/>
    </row>
    <row r="17" spans="1:8">
      <c r="A17" s="5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6"/>
    </row>
    <row r="18" spans="1:8">
      <c r="A18" s="5" t="s">
        <v>54</v>
      </c>
      <c r="B18" s="1">
        <v>6</v>
      </c>
      <c r="C18" s="1">
        <v>5.6</v>
      </c>
      <c r="D18" s="1">
        <v>5.63</v>
      </c>
      <c r="E18" s="1">
        <v>5.73</v>
      </c>
      <c r="F18" s="1">
        <v>5.83</v>
      </c>
      <c r="G18" s="1">
        <v>5.73</v>
      </c>
      <c r="H18" s="6"/>
    </row>
    <row r="19" spans="1:8">
      <c r="A19" s="5" t="s">
        <v>55</v>
      </c>
      <c r="B19" s="1">
        <v>7.13</v>
      </c>
      <c r="C19" s="1">
        <v>7.1</v>
      </c>
      <c r="D19" s="1">
        <v>7.13</v>
      </c>
      <c r="E19" s="1">
        <v>7.07</v>
      </c>
      <c r="F19" s="1">
        <v>7.11</v>
      </c>
      <c r="G19" s="1">
        <v>7.13</v>
      </c>
      <c r="H19" s="6"/>
    </row>
    <row r="20" spans="1:8" ht="14.25" thickBot="1">
      <c r="A20" s="7"/>
      <c r="B20" s="8"/>
      <c r="C20" s="8"/>
      <c r="D20" s="8"/>
      <c r="E20" s="8"/>
      <c r="F20" s="8"/>
      <c r="G20" s="8"/>
      <c r="H20" s="9"/>
    </row>
  </sheetData>
  <phoneticPr fontId="1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5242-E3F0-4618-8B78-1DBA7A3105B0}">
  <sheetPr codeName="Sheet12"/>
  <dimension ref="B1:F24"/>
  <sheetViews>
    <sheetView workbookViewId="0">
      <selection activeCell="B2" sqref="B2"/>
    </sheetView>
  </sheetViews>
  <sheetFormatPr defaultRowHeight="18.75"/>
  <sheetData>
    <row r="1" spans="2:6">
      <c r="B1" t="s">
        <v>386</v>
      </c>
      <c r="F1" t="s">
        <v>388</v>
      </c>
    </row>
    <row r="2" spans="2:6">
      <c r="B2" t="str">
        <f>CHAR(64+ROW(A1))&amp;"列："</f>
        <v>A列：</v>
      </c>
      <c r="C2" t="s">
        <v>0</v>
      </c>
      <c r="F2" t="s">
        <v>389</v>
      </c>
    </row>
    <row r="3" spans="2:6">
      <c r="B3" t="str">
        <f t="shared" ref="B3:B7" si="0">CHAR(64+ROW(A2))&amp;"列："</f>
        <v>B列：</v>
      </c>
      <c r="C3" t="s">
        <v>374</v>
      </c>
      <c r="F3" t="s">
        <v>390</v>
      </c>
    </row>
    <row r="4" spans="2:6">
      <c r="B4" t="str">
        <f t="shared" si="0"/>
        <v>C列：</v>
      </c>
      <c r="C4" t="s">
        <v>6</v>
      </c>
      <c r="F4" t="s">
        <v>391</v>
      </c>
    </row>
    <row r="5" spans="2:6">
      <c r="B5" t="str">
        <f t="shared" si="0"/>
        <v>D列：</v>
      </c>
      <c r="C5" t="s">
        <v>53</v>
      </c>
      <c r="F5" t="s">
        <v>392</v>
      </c>
    </row>
    <row r="6" spans="2:6">
      <c r="B6" t="str">
        <f t="shared" si="0"/>
        <v>E列：</v>
      </c>
      <c r="C6" t="s">
        <v>54</v>
      </c>
      <c r="F6" t="s">
        <v>393</v>
      </c>
    </row>
    <row r="7" spans="2:6">
      <c r="B7" t="str">
        <f t="shared" si="0"/>
        <v>F列：</v>
      </c>
      <c r="C7" t="s">
        <v>55</v>
      </c>
      <c r="F7" t="s">
        <v>394</v>
      </c>
    </row>
    <row r="8" spans="2:6">
      <c r="B8" t="s">
        <v>387</v>
      </c>
      <c r="F8" t="s">
        <v>395</v>
      </c>
    </row>
    <row r="9" spans="2:6">
      <c r="B9" t="str">
        <f>CHAR(64+ROW(A9))&amp;"列："</f>
        <v>I列：</v>
      </c>
      <c r="C9" t="s">
        <v>375</v>
      </c>
      <c r="F9" t="s">
        <v>396</v>
      </c>
    </row>
    <row r="10" spans="2:6">
      <c r="B10" t="str">
        <f t="shared" ref="B10:B24" si="1">CHAR(64+ROW(A10))&amp;"列："</f>
        <v>J列：</v>
      </c>
      <c r="C10" t="s">
        <v>376</v>
      </c>
      <c r="F10" t="s">
        <v>397</v>
      </c>
    </row>
    <row r="11" spans="2:6">
      <c r="B11" t="str">
        <f t="shared" si="1"/>
        <v>K列：</v>
      </c>
      <c r="C11" t="s">
        <v>58</v>
      </c>
      <c r="F11" t="s">
        <v>398</v>
      </c>
    </row>
    <row r="12" spans="2:6">
      <c r="B12" t="str">
        <f t="shared" si="1"/>
        <v>L列：</v>
      </c>
      <c r="C12" t="s">
        <v>59</v>
      </c>
      <c r="F12" t="s">
        <v>399</v>
      </c>
    </row>
    <row r="13" spans="2:6">
      <c r="B13" t="str">
        <f t="shared" si="1"/>
        <v>M列：</v>
      </c>
      <c r="C13" t="s">
        <v>377</v>
      </c>
      <c r="F13" t="s">
        <v>400</v>
      </c>
    </row>
    <row r="14" spans="2:6">
      <c r="B14" t="str">
        <f t="shared" si="1"/>
        <v>N列：</v>
      </c>
      <c r="C14" t="s">
        <v>378</v>
      </c>
      <c r="F14" t="s">
        <v>401</v>
      </c>
    </row>
    <row r="15" spans="2:6">
      <c r="B15" t="str">
        <f t="shared" si="1"/>
        <v>O列：</v>
      </c>
      <c r="C15" t="s">
        <v>379</v>
      </c>
      <c r="F15" t="s">
        <v>402</v>
      </c>
    </row>
    <row r="16" spans="2:6">
      <c r="B16" t="str">
        <f t="shared" si="1"/>
        <v>P列：</v>
      </c>
      <c r="C16" t="s">
        <v>380</v>
      </c>
      <c r="F16" t="s">
        <v>403</v>
      </c>
    </row>
    <row r="17" spans="2:6">
      <c r="B17" t="str">
        <f t="shared" si="1"/>
        <v>Q列：</v>
      </c>
      <c r="C17" t="s">
        <v>61</v>
      </c>
      <c r="F17" t="s">
        <v>404</v>
      </c>
    </row>
    <row r="18" spans="2:6">
      <c r="B18" t="str">
        <f t="shared" si="1"/>
        <v>R列：</v>
      </c>
      <c r="C18" t="s">
        <v>62</v>
      </c>
      <c r="F18" t="s">
        <v>405</v>
      </c>
    </row>
    <row r="19" spans="2:6">
      <c r="B19" t="str">
        <f t="shared" si="1"/>
        <v>S列：</v>
      </c>
      <c r="C19" t="s">
        <v>63</v>
      </c>
      <c r="F19" t="s">
        <v>406</v>
      </c>
    </row>
    <row r="20" spans="2:6">
      <c r="B20" t="str">
        <f t="shared" si="1"/>
        <v>T列：</v>
      </c>
      <c r="C20" t="s">
        <v>381</v>
      </c>
      <c r="F20" t="s">
        <v>407</v>
      </c>
    </row>
    <row r="21" spans="2:6">
      <c r="B21" t="str">
        <f t="shared" si="1"/>
        <v>U列：</v>
      </c>
      <c r="C21" t="s">
        <v>382</v>
      </c>
      <c r="F21" t="s">
        <v>408</v>
      </c>
    </row>
    <row r="22" spans="2:6">
      <c r="B22" t="str">
        <f t="shared" si="1"/>
        <v>V列：</v>
      </c>
      <c r="C22" t="s">
        <v>383</v>
      </c>
      <c r="F22" t="s">
        <v>409</v>
      </c>
    </row>
    <row r="23" spans="2:6">
      <c r="B23" t="str">
        <f t="shared" si="1"/>
        <v>W列：</v>
      </c>
      <c r="C23" t="s">
        <v>384</v>
      </c>
      <c r="F23" t="s">
        <v>410</v>
      </c>
    </row>
    <row r="24" spans="2:6">
      <c r="B24" t="str">
        <f t="shared" si="1"/>
        <v>X列：</v>
      </c>
      <c r="C24" t="s">
        <v>385</v>
      </c>
      <c r="F24" t="s">
        <v>411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C5FC-3058-4CFF-8FDD-8C508C2C865F}">
  <sheetPr codeName="Sheet7"/>
  <dimension ref="A1:AA16"/>
  <sheetViews>
    <sheetView workbookViewId="0">
      <selection activeCell="T23" sqref="T23"/>
    </sheetView>
  </sheetViews>
  <sheetFormatPr defaultRowHeight="13.5"/>
  <cols>
    <col min="1" max="8" width="9" style="1"/>
    <col min="9" max="18" width="0" style="1" hidden="1" customWidth="1"/>
    <col min="19" max="19" width="9" style="1"/>
    <col min="20" max="20" width="8.5" style="1" bestFit="1" customWidth="1"/>
    <col min="21" max="21" width="11.25" style="1" bestFit="1" customWidth="1"/>
    <col min="22" max="22" width="15.625" style="1" bestFit="1" customWidth="1"/>
    <col min="23" max="16384" width="9" style="1"/>
  </cols>
  <sheetData>
    <row r="1" spans="1:27" s="10" customFormat="1" ht="54">
      <c r="A1" s="24" t="s">
        <v>0</v>
      </c>
      <c r="B1" s="25" t="s">
        <v>90</v>
      </c>
      <c r="C1" s="25" t="s">
        <v>91</v>
      </c>
      <c r="D1" s="25" t="s">
        <v>92</v>
      </c>
      <c r="E1" s="25" t="s">
        <v>151</v>
      </c>
      <c r="F1" s="25" t="s">
        <v>93</v>
      </c>
      <c r="G1" s="25" t="s">
        <v>94</v>
      </c>
      <c r="H1" s="25" t="s">
        <v>95</v>
      </c>
      <c r="I1" s="25" t="s">
        <v>96</v>
      </c>
      <c r="J1" s="25" t="s">
        <v>97</v>
      </c>
      <c r="K1" s="25" t="s">
        <v>98</v>
      </c>
      <c r="L1" s="25" t="s">
        <v>99</v>
      </c>
      <c r="M1" s="25" t="s">
        <v>157</v>
      </c>
      <c r="N1" s="25" t="s">
        <v>100</v>
      </c>
      <c r="O1" s="25" t="s">
        <v>101</v>
      </c>
      <c r="P1" s="25" t="s">
        <v>102</v>
      </c>
      <c r="Q1" s="25" t="s">
        <v>103</v>
      </c>
      <c r="R1" s="25" t="s">
        <v>104</v>
      </c>
      <c r="S1" s="25" t="s">
        <v>150</v>
      </c>
      <c r="T1" s="25" t="s">
        <v>152</v>
      </c>
      <c r="U1" s="25" t="s">
        <v>153</v>
      </c>
      <c r="V1" s="25" t="s">
        <v>154</v>
      </c>
      <c r="W1" s="25" t="s">
        <v>155</v>
      </c>
      <c r="X1" s="25" t="s">
        <v>105</v>
      </c>
      <c r="Y1" s="25" t="s">
        <v>106</v>
      </c>
      <c r="Z1" s="25" t="s">
        <v>107</v>
      </c>
      <c r="AA1" s="16" t="s">
        <v>108</v>
      </c>
    </row>
    <row r="2" spans="1:27">
      <c r="A2" s="12">
        <v>1</v>
      </c>
      <c r="B2" s="11">
        <v>1</v>
      </c>
      <c r="C2" s="68">
        <f>B12</f>
        <v>0.81299999999999994</v>
      </c>
      <c r="D2" s="68">
        <f>B14</f>
        <v>0.92900000000000005</v>
      </c>
      <c r="E2" s="11">
        <f>TENJI!Q2</f>
        <v>18</v>
      </c>
      <c r="F2" s="11" t="str">
        <f>TENJI!S2</f>
        <v>バランス</v>
      </c>
      <c r="G2" s="11">
        <f>TENJI!R2</f>
        <v>1</v>
      </c>
      <c r="H2" s="11">
        <f>TENJI!T2</f>
        <v>0</v>
      </c>
      <c r="I2" s="11">
        <f>TENJI!U2</f>
        <v>0</v>
      </c>
      <c r="J2" s="11">
        <f>TENJI!V2</f>
        <v>19</v>
      </c>
      <c r="K2" s="68">
        <f>KIMARITE!C3</f>
        <v>0.56299999999999994</v>
      </c>
      <c r="L2" s="68">
        <f>KIMARITE!D3</f>
        <v>0</v>
      </c>
      <c r="M2" s="68">
        <f>KIMARITE!E3</f>
        <v>0</v>
      </c>
      <c r="N2" s="68">
        <f>KIMARITE!F3</f>
        <v>0</v>
      </c>
      <c r="O2" s="68">
        <f>KIMARITE!G3</f>
        <v>0</v>
      </c>
      <c r="P2" s="68">
        <f>KIMARITE!H3</f>
        <v>0.156</v>
      </c>
      <c r="Q2" s="68">
        <f>KIMARITE!I3</f>
        <v>0.25</v>
      </c>
      <c r="R2" s="68">
        <f>KIMARITE!J3</f>
        <v>3.1E-2</v>
      </c>
      <c r="S2" s="68">
        <f>KIMARITE!K2 * (1 + (E2/100))</f>
        <v>0.54044000000000003</v>
      </c>
      <c r="T2" s="68" t="s">
        <v>156</v>
      </c>
      <c r="U2" s="68" t="s">
        <v>156</v>
      </c>
      <c r="V2" s="68" t="s">
        <v>156</v>
      </c>
      <c r="W2" s="68" t="s">
        <v>156</v>
      </c>
      <c r="X2" s="11" t="str">
        <f t="shared" ref="X2:X7" si="0">IF(AND(K2&gt;=0.2, B2=1),"逃げ型",
IF(L2&gt;=0.05,"差し型",
IF(OR(M2&gt;=0.05, N2&gt;=0.05),"攻め型",
IF(OR(P2&gt;=0.2, R2&gt;=0.2),"脆い型",
"無色"))))</f>
        <v>逃げ型</v>
      </c>
      <c r="Y2" s="11">
        <f>IF(X2="攻め型",1,
IF(X2="差し型",1,
IF(X2="逃げ型",1,
IF(X2="脆い型",-1,0))))</f>
        <v>1</v>
      </c>
      <c r="Z2" s="11">
        <f t="shared" ref="Z2:Z7" si="1">J2 + Y2</f>
        <v>20</v>
      </c>
      <c r="AA2" s="13">
        <f t="shared" ref="AA2:AA7" si="2">IF(
   AND(
      I2 = 0,
      Z2 &lt; MEDIAN($Z$2:$Z$7),
      OR(
         C2 &lt; 0.5,
         D2 &lt; 0.5
      )
   ),
   1,
   0
)</f>
        <v>0</v>
      </c>
    </row>
    <row r="3" spans="1:27">
      <c r="A3" s="12">
        <v>2</v>
      </c>
      <c r="B3" s="11">
        <v>2</v>
      </c>
      <c r="C3" s="68">
        <f>C12</f>
        <v>0.71399999999999997</v>
      </c>
      <c r="D3" s="68">
        <f>C14</f>
        <v>0.84599999999999997</v>
      </c>
      <c r="E3" s="11">
        <f>TENJI!Q3</f>
        <v>28</v>
      </c>
      <c r="F3" s="11" t="str">
        <f>TENJI!S3</f>
        <v>バランス</v>
      </c>
      <c r="G3" s="11">
        <f>TENJI!R3</f>
        <v>0</v>
      </c>
      <c r="H3" s="11">
        <f>TENJI!T3</f>
        <v>0</v>
      </c>
      <c r="I3" s="11">
        <f>TENJI!U3</f>
        <v>0</v>
      </c>
      <c r="J3" s="11">
        <f>TENJI!V3</f>
        <v>28</v>
      </c>
      <c r="K3" s="68">
        <f>KIMARITE!C5</f>
        <v>0</v>
      </c>
      <c r="L3" s="68">
        <f>KIMARITE!D5</f>
        <v>9.5000000000000001E-2</v>
      </c>
      <c r="M3" s="68">
        <f>KIMARITE!E5</f>
        <v>4.8000000000000001E-2</v>
      </c>
      <c r="N3" s="68">
        <f>KIMARITE!F5</f>
        <v>0</v>
      </c>
      <c r="O3" s="68">
        <f>KIMARITE!G5</f>
        <v>0.52400000000000002</v>
      </c>
      <c r="P3" s="68">
        <f>KIMARITE!H5</f>
        <v>0</v>
      </c>
      <c r="Q3" s="68">
        <f>KIMARITE!I5</f>
        <v>0</v>
      </c>
      <c r="R3" s="68">
        <f>KIMARITE!J5</f>
        <v>0</v>
      </c>
      <c r="S3" s="68">
        <f>(KIMARITE!L4 + KIMARITE!M4 + KIMARITE!N4) * (1 + (E3/100))</f>
        <v>0.28799999999999998</v>
      </c>
      <c r="T3" s="90" t="str">
        <f>IF(AND(KIMARITE!$P$2&gt;0.12, KIMARITE!L4&gt;0.12), "★2差し", "-")</f>
        <v>★2差し</v>
      </c>
      <c r="U3" s="90" t="str">
        <f>IF(AND(KIMARITE!$Q$2&gt;0.12, KIMARITE!M4&gt;0.12), "🔥2まくり", "-")</f>
        <v>-</v>
      </c>
      <c r="V3" s="90" t="str">
        <f>IF(AND(KIMARITE!$R$2&gt;0.12, KIMARITE!N4&gt;0.12), "✨2まくり差し", "-")</f>
        <v>-</v>
      </c>
      <c r="W3" s="68" t="str">
        <f>IF(KIMARITE!G4&gt;0.4, "🌓壁役(逃がし)", "-")</f>
        <v>🌓壁役(逃がし)</v>
      </c>
      <c r="X3" s="11" t="str">
        <f t="shared" si="0"/>
        <v>差し型</v>
      </c>
      <c r="Y3" s="11">
        <f t="shared" ref="Y3:Y7" si="3">IF(X3="攻め型",1,
IF(X3="差し型",1,
IF(X3="逃げ型",1,
IF(X3="脆い型",-1,0))))</f>
        <v>1</v>
      </c>
      <c r="Z3" s="11">
        <f t="shared" si="1"/>
        <v>29</v>
      </c>
      <c r="AA3" s="13">
        <f t="shared" si="2"/>
        <v>0</v>
      </c>
    </row>
    <row r="4" spans="1:27">
      <c r="A4" s="12">
        <v>3</v>
      </c>
      <c r="B4" s="11">
        <v>3</v>
      </c>
      <c r="C4" s="68">
        <f>D12</f>
        <v>0.64300000000000002</v>
      </c>
      <c r="D4" s="68">
        <f>D14</f>
        <v>0.75</v>
      </c>
      <c r="E4" s="11">
        <f>TENJI!Q4</f>
        <v>24</v>
      </c>
      <c r="F4" s="11" t="str">
        <f>TENJI!S4</f>
        <v>バランス</v>
      </c>
      <c r="G4" s="11">
        <f>TENJI!R4</f>
        <v>0</v>
      </c>
      <c r="H4" s="11">
        <f>TENJI!T4</f>
        <v>0</v>
      </c>
      <c r="I4" s="11">
        <f>TENJI!U4</f>
        <v>1</v>
      </c>
      <c r="J4" s="11">
        <f>TENJI!V4</f>
        <v>25</v>
      </c>
      <c r="K4" s="68">
        <f>KIMARITE!C7</f>
        <v>0</v>
      </c>
      <c r="L4" s="68">
        <f>KIMARITE!D7</f>
        <v>7.0999999999999994E-2</v>
      </c>
      <c r="M4" s="68">
        <f>KIMARITE!E7</f>
        <v>7.0999999999999994E-2</v>
      </c>
      <c r="N4" s="68">
        <f>KIMARITE!F7</f>
        <v>7.0999999999999994E-2</v>
      </c>
      <c r="O4" s="68">
        <f>KIMARITE!G7</f>
        <v>0</v>
      </c>
      <c r="P4" s="68">
        <f>KIMARITE!H7</f>
        <v>0</v>
      </c>
      <c r="Q4" s="68">
        <f>KIMARITE!I7</f>
        <v>0</v>
      </c>
      <c r="R4" s="68">
        <f>KIMARITE!J7</f>
        <v>0</v>
      </c>
      <c r="S4" s="68">
        <f>(KIMARITE!L6+KIMARITE!M6+KIMARITE!N6)*(1+(E4/100))</f>
        <v>0.20708000000000001</v>
      </c>
      <c r="T4" s="90" t="str">
        <f>IF(AND(KIMARITE!$P$2&gt;0.12, KIMARITE!L6&gt;0.12), "★3差し", "-")</f>
        <v>-</v>
      </c>
      <c r="U4" s="90" t="str">
        <f>IF(AND(KIMARITE!$Q$2&gt;0.12, KIMARITE!M6&gt;0.12), "🔥3まくり", "-")</f>
        <v>-</v>
      </c>
      <c r="V4" s="90" t="str">
        <f>IF(AND(KIMARITE!$R$2&gt;0.12, KIMARITE!N6&gt;0.12), "✨3まくり差し", "-")</f>
        <v>-</v>
      </c>
      <c r="W4" s="68" t="str">
        <f>IF(KIMARITE!G6&gt;0.4, "🛡️外ブロック", "-")</f>
        <v>-</v>
      </c>
      <c r="X4" s="11" t="str">
        <f t="shared" si="0"/>
        <v>差し型</v>
      </c>
      <c r="Y4" s="11">
        <f t="shared" si="3"/>
        <v>1</v>
      </c>
      <c r="Z4" s="11">
        <f t="shared" si="1"/>
        <v>26</v>
      </c>
      <c r="AA4" s="13">
        <f t="shared" si="2"/>
        <v>0</v>
      </c>
    </row>
    <row r="5" spans="1:27">
      <c r="A5" s="12">
        <v>4</v>
      </c>
      <c r="B5" s="11">
        <v>4</v>
      </c>
      <c r="C5" s="68">
        <f>E12</f>
        <v>0.38100000000000001</v>
      </c>
      <c r="D5" s="68">
        <f>E14</f>
        <v>0.5</v>
      </c>
      <c r="E5" s="11">
        <f>TENJI!Q5</f>
        <v>25</v>
      </c>
      <c r="F5" s="11" t="str">
        <f>TENJI!S5</f>
        <v>超伸び型</v>
      </c>
      <c r="G5" s="11">
        <f>TENJI!R5</f>
        <v>4</v>
      </c>
      <c r="H5" s="11">
        <f>TENJI!T5</f>
        <v>1</v>
      </c>
      <c r="I5" s="11">
        <f>TENJI!U5</f>
        <v>0</v>
      </c>
      <c r="J5" s="11">
        <f>TENJI!V5</f>
        <v>29</v>
      </c>
      <c r="K5" s="68">
        <f>KIMARITE!C9</f>
        <v>0</v>
      </c>
      <c r="L5" s="68">
        <f>KIMARITE!D9</f>
        <v>0</v>
      </c>
      <c r="M5" s="68">
        <f>KIMARITE!E9</f>
        <v>0</v>
      </c>
      <c r="N5" s="68">
        <f>KIMARITE!F9</f>
        <v>0</v>
      </c>
      <c r="O5" s="68">
        <f>KIMARITE!G9</f>
        <v>0</v>
      </c>
      <c r="P5" s="68">
        <f>KIMARITE!H9</f>
        <v>0</v>
      </c>
      <c r="Q5" s="68">
        <f>KIMARITE!I9</f>
        <v>0</v>
      </c>
      <c r="R5" s="68">
        <f>KIMARITE!J9</f>
        <v>0</v>
      </c>
      <c r="S5" s="68">
        <f>(KIMARITE!L8+KIMARITE!M8+KIMARITE!N8)*(1+(E5/100))</f>
        <v>0.11749999999999999</v>
      </c>
      <c r="T5" s="90" t="str">
        <f>IF(AND(KIMARITE!$P$2&gt;0.12, KIMARITE!L8&gt;0.12), "★4差し", "-")</f>
        <v>-</v>
      </c>
      <c r="U5" s="90" t="str">
        <f>IF(AND(KIMARITE!$Q$2&gt;0.12, KIMARITE!M8&gt;0.12), "🔥4まくり", "-")</f>
        <v>-</v>
      </c>
      <c r="V5" s="90" t="str">
        <f>IF(AND(KIMARITE!$R$2&gt;0.12, KIMARITE!N8&gt;0.12), "✨4まくり差し", "-")</f>
        <v>-</v>
      </c>
      <c r="W5" s="68" t="s">
        <v>156</v>
      </c>
      <c r="X5" s="11" t="str">
        <f t="shared" si="0"/>
        <v>無色</v>
      </c>
      <c r="Y5" s="11">
        <f t="shared" si="3"/>
        <v>0</v>
      </c>
      <c r="Z5" s="11">
        <f t="shared" si="1"/>
        <v>29</v>
      </c>
      <c r="AA5" s="13">
        <f t="shared" si="2"/>
        <v>0</v>
      </c>
    </row>
    <row r="6" spans="1:27">
      <c r="A6" s="12">
        <v>5</v>
      </c>
      <c r="B6" s="11">
        <v>5</v>
      </c>
      <c r="C6" s="68">
        <f>F12</f>
        <v>0.57899999999999996</v>
      </c>
      <c r="D6" s="68">
        <f>F14</f>
        <v>0.6</v>
      </c>
      <c r="E6" s="11">
        <f>TENJI!Q6</f>
        <v>22</v>
      </c>
      <c r="F6" s="11" t="str">
        <f>TENJI!S6</f>
        <v>バランス</v>
      </c>
      <c r="G6" s="11">
        <f>TENJI!R6</f>
        <v>0</v>
      </c>
      <c r="H6" s="11">
        <f>TENJI!T6</f>
        <v>0</v>
      </c>
      <c r="I6" s="11">
        <f>TENJI!U6</f>
        <v>1</v>
      </c>
      <c r="J6" s="11">
        <f>TENJI!V6</f>
        <v>23</v>
      </c>
      <c r="K6" s="68">
        <f>KIMARITE!C11</f>
        <v>0</v>
      </c>
      <c r="L6" s="68">
        <f>KIMARITE!D11</f>
        <v>0</v>
      </c>
      <c r="M6" s="68">
        <f>KIMARITE!E11</f>
        <v>5.2999999999999999E-2</v>
      </c>
      <c r="N6" s="68">
        <f>KIMARITE!F11</f>
        <v>0.105</v>
      </c>
      <c r="O6" s="68">
        <f>KIMARITE!G11</f>
        <v>0</v>
      </c>
      <c r="P6" s="68">
        <f>KIMARITE!H11</f>
        <v>0</v>
      </c>
      <c r="Q6" s="68">
        <f>KIMARITE!I11</f>
        <v>0</v>
      </c>
      <c r="R6" s="68">
        <f>KIMARITE!J11</f>
        <v>0</v>
      </c>
      <c r="S6" s="68">
        <f>(KIMARITE!L10+KIMARITE!M10+KIMARITE!N10)*(1+(E6/100))</f>
        <v>0.16958000000000001</v>
      </c>
      <c r="T6" s="90" t="str">
        <f>IF(AND(KIMARITE!$P$2&gt;0.12, KIMARITE!L10&gt;0.12), "★5差し", "-")</f>
        <v>-</v>
      </c>
      <c r="U6" s="90" t="str">
        <f>IF(AND(KIMARITE!$Q$2&gt;0.12, KIMARITE!M10&gt;0.12), "🔥5まくり", "-")</f>
        <v>-</v>
      </c>
      <c r="V6" s="90" t="str">
        <f>IF(AND(KIMARITE!$R$2&gt;0.12, KIMARITE!N10&gt;0.12), "✨5まくり差し", "-")</f>
        <v>-</v>
      </c>
      <c r="W6" s="68" t="s">
        <v>156</v>
      </c>
      <c r="X6" s="11" t="str">
        <f t="shared" si="0"/>
        <v>攻め型</v>
      </c>
      <c r="Y6" s="11">
        <f t="shared" si="3"/>
        <v>1</v>
      </c>
      <c r="Z6" s="11">
        <f t="shared" si="1"/>
        <v>24</v>
      </c>
      <c r="AA6" s="13">
        <f t="shared" si="2"/>
        <v>0</v>
      </c>
    </row>
    <row r="7" spans="1:27" ht="14.25" thickBot="1">
      <c r="A7" s="14">
        <v>6</v>
      </c>
      <c r="B7" s="26">
        <v>6</v>
      </c>
      <c r="C7" s="69">
        <f>G12</f>
        <v>0.45500000000000002</v>
      </c>
      <c r="D7" s="69">
        <f>G14</f>
        <v>0.66700000000000004</v>
      </c>
      <c r="E7" s="26">
        <f>TENJI!Q7</f>
        <v>21</v>
      </c>
      <c r="F7" s="26" t="str">
        <f>TENJI!S7</f>
        <v>バランス</v>
      </c>
      <c r="G7" s="26">
        <f>TENJI!R7</f>
        <v>0</v>
      </c>
      <c r="H7" s="26">
        <f>TENJI!T7</f>
        <v>0</v>
      </c>
      <c r="I7" s="26">
        <f>TENJI!U7</f>
        <v>0</v>
      </c>
      <c r="J7" s="26">
        <f>TENJI!V7</f>
        <v>21</v>
      </c>
      <c r="K7" s="69">
        <f>KIMARITE!C13</f>
        <v>0</v>
      </c>
      <c r="L7" s="69">
        <f>KIMARITE!D13</f>
        <v>0</v>
      </c>
      <c r="M7" s="69">
        <f>KIMARITE!E13</f>
        <v>0</v>
      </c>
      <c r="N7" s="69">
        <f>KIMARITE!F13</f>
        <v>0</v>
      </c>
      <c r="O7" s="69">
        <f>KIMARITE!G13</f>
        <v>0</v>
      </c>
      <c r="P7" s="69">
        <f>KIMARITE!H13</f>
        <v>0</v>
      </c>
      <c r="Q7" s="69">
        <f>KIMARITE!I13</f>
        <v>0</v>
      </c>
      <c r="R7" s="69">
        <f>KIMARITE!J13</f>
        <v>0</v>
      </c>
      <c r="S7" s="69">
        <f>(KIMARITE!L12+KIMARITE!M12+KIMARITE!N12)*(1+(E7/100))</f>
        <v>0</v>
      </c>
      <c r="T7" s="91" t="str">
        <f>IF(AND(KIMARITE!$P$2&gt;0.12, KIMARITE!L12&gt;0.12), "★6差し", "-")</f>
        <v>-</v>
      </c>
      <c r="U7" s="91" t="str">
        <f>IF(AND(KIMARITE!$Q$2&gt;0.12, KIMARITE!M12&gt;0.12), "🔥6まくり", "-")</f>
        <v>-</v>
      </c>
      <c r="V7" s="91" t="str">
        <f>IF(AND(KIMARITE!$R$2&gt;0.12, KIMARITE!N12&gt;0.12), "✨6まくり差し", "-")</f>
        <v>-</v>
      </c>
      <c r="W7" s="69" t="s">
        <v>156</v>
      </c>
      <c r="X7" s="26" t="str">
        <f t="shared" si="0"/>
        <v>無色</v>
      </c>
      <c r="Y7" s="26">
        <f t="shared" si="3"/>
        <v>0</v>
      </c>
      <c r="Z7" s="26">
        <f t="shared" si="1"/>
        <v>21</v>
      </c>
      <c r="AA7" s="15">
        <f t="shared" si="2"/>
        <v>1</v>
      </c>
    </row>
    <row r="10" spans="1:27" ht="14.25" thickBot="1">
      <c r="A10" s="1" t="s">
        <v>109</v>
      </c>
    </row>
    <row r="11" spans="1:27" ht="15" customHeight="1">
      <c r="A11" s="2" t="s">
        <v>110</v>
      </c>
      <c r="B11" s="3"/>
      <c r="C11" s="3"/>
      <c r="D11" s="3"/>
      <c r="E11" s="3"/>
      <c r="F11" s="3"/>
      <c r="G11" s="3"/>
      <c r="H11" s="4"/>
    </row>
    <row r="12" spans="1:27" ht="18" customHeight="1">
      <c r="A12" s="5" t="s">
        <v>111</v>
      </c>
      <c r="B12" s="66">
        <v>0.81299999999999994</v>
      </c>
      <c r="C12" s="66">
        <v>0.71399999999999997</v>
      </c>
      <c r="D12" s="66">
        <v>0.64300000000000002</v>
      </c>
      <c r="E12" s="66">
        <v>0.38100000000000001</v>
      </c>
      <c r="F12" s="66">
        <v>0.57899999999999996</v>
      </c>
      <c r="G12" s="66">
        <v>0.45500000000000002</v>
      </c>
      <c r="H12" s="6"/>
    </row>
    <row r="13" spans="1:27">
      <c r="A13" s="5"/>
      <c r="B13" s="1">
        <v>-32</v>
      </c>
      <c r="C13" s="1">
        <v>-21</v>
      </c>
      <c r="D13" s="1">
        <v>-14</v>
      </c>
      <c r="E13" s="1">
        <v>-21</v>
      </c>
      <c r="F13" s="1">
        <v>-19</v>
      </c>
      <c r="G13" s="1">
        <v>-22</v>
      </c>
      <c r="H13" s="6"/>
    </row>
    <row r="14" spans="1:27" ht="18" customHeight="1">
      <c r="A14" s="5" t="s">
        <v>112</v>
      </c>
      <c r="B14" s="66">
        <v>0.92900000000000005</v>
      </c>
      <c r="C14" s="66">
        <v>0.84599999999999997</v>
      </c>
      <c r="D14" s="66">
        <v>0.75</v>
      </c>
      <c r="E14" s="66">
        <v>0.5</v>
      </c>
      <c r="F14" s="66">
        <v>0.6</v>
      </c>
      <c r="G14" s="66">
        <v>0.66700000000000004</v>
      </c>
      <c r="H14" s="6"/>
    </row>
    <row r="15" spans="1:27">
      <c r="A15" s="5"/>
      <c r="B15" s="1">
        <v>-14</v>
      </c>
      <c r="C15" s="1">
        <v>-13</v>
      </c>
      <c r="D15" s="1">
        <v>-4</v>
      </c>
      <c r="E15" s="1">
        <v>-10</v>
      </c>
      <c r="F15" s="1">
        <v>-10</v>
      </c>
      <c r="G15" s="1">
        <v>-9</v>
      </c>
      <c r="H15" s="6"/>
    </row>
    <row r="16" spans="1:27" ht="14.25" customHeight="1" thickBot="1">
      <c r="A16" s="7"/>
      <c r="B16" s="8"/>
      <c r="C16" s="8"/>
      <c r="D16" s="8"/>
      <c r="E16" s="8"/>
      <c r="F16" s="8"/>
      <c r="G16" s="8"/>
      <c r="H16" s="9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6E1B-C0F5-486C-8108-2A9DC091F2ED}">
  <sheetPr codeName="Sheet14"/>
  <dimension ref="A1:AA16"/>
  <sheetViews>
    <sheetView topLeftCell="N1" workbookViewId="0">
      <selection activeCell="AE2" sqref="AE2"/>
    </sheetView>
  </sheetViews>
  <sheetFormatPr defaultRowHeight="13.5"/>
  <cols>
    <col min="1" max="8" width="9" style="1"/>
    <col min="9" max="18" width="9" style="1" customWidth="1"/>
    <col min="19" max="19" width="9" style="1"/>
    <col min="20" max="20" width="8.5" style="1" bestFit="1" customWidth="1"/>
    <col min="21" max="21" width="11.25" style="1" bestFit="1" customWidth="1"/>
    <col min="22" max="22" width="15.625" style="1" bestFit="1" customWidth="1"/>
    <col min="23" max="16384" width="9" style="1"/>
  </cols>
  <sheetData>
    <row r="1" spans="1:27" s="10" customFormat="1" ht="54">
      <c r="A1" s="24" t="s">
        <v>0</v>
      </c>
      <c r="B1" s="25" t="s">
        <v>90</v>
      </c>
      <c r="C1" s="25" t="s">
        <v>91</v>
      </c>
      <c r="D1" s="25" t="s">
        <v>92</v>
      </c>
      <c r="E1" s="25" t="s">
        <v>151</v>
      </c>
      <c r="F1" s="25" t="s">
        <v>93</v>
      </c>
      <c r="G1" s="25" t="s">
        <v>94</v>
      </c>
      <c r="H1" s="25" t="s">
        <v>95</v>
      </c>
      <c r="I1" s="25" t="s">
        <v>96</v>
      </c>
      <c r="J1" s="25" t="s">
        <v>97</v>
      </c>
      <c r="K1" s="25" t="s">
        <v>98</v>
      </c>
      <c r="L1" s="25" t="s">
        <v>99</v>
      </c>
      <c r="M1" s="25" t="s">
        <v>157</v>
      </c>
      <c r="N1" s="25" t="s">
        <v>100</v>
      </c>
      <c r="O1" s="25" t="s">
        <v>101</v>
      </c>
      <c r="P1" s="25" t="s">
        <v>102</v>
      </c>
      <c r="Q1" s="25" t="s">
        <v>103</v>
      </c>
      <c r="R1" s="25" t="s">
        <v>104</v>
      </c>
      <c r="S1" s="25" t="s">
        <v>150</v>
      </c>
      <c r="T1" s="25" t="s">
        <v>152</v>
      </c>
      <c r="U1" s="25" t="s">
        <v>153</v>
      </c>
      <c r="V1" s="25" t="s">
        <v>154</v>
      </c>
      <c r="W1" s="25" t="s">
        <v>155</v>
      </c>
      <c r="X1" s="25" t="s">
        <v>105</v>
      </c>
      <c r="Y1" s="25" t="s">
        <v>106</v>
      </c>
      <c r="Z1" s="25" t="s">
        <v>107</v>
      </c>
      <c r="AA1" s="16" t="s">
        <v>108</v>
      </c>
    </row>
    <row r="2" spans="1:27">
      <c r="A2" s="12">
        <v>1</v>
      </c>
      <c r="B2" s="11">
        <v>1</v>
      </c>
      <c r="C2" s="68">
        <f>B12</f>
        <v>0.81299999999999994</v>
      </c>
      <c r="D2" s="68">
        <f>B14</f>
        <v>0.92900000000000005</v>
      </c>
      <c r="E2" s="11">
        <f>TENJI!Q2</f>
        <v>18</v>
      </c>
      <c r="F2" s="11" t="str">
        <f>TENJI!S2</f>
        <v>バランス</v>
      </c>
      <c r="G2" s="11">
        <f>TENJI!R2</f>
        <v>1</v>
      </c>
      <c r="H2" s="11">
        <f>TENJI!T2</f>
        <v>0</v>
      </c>
      <c r="I2" s="11">
        <f>TENJI!U2</f>
        <v>0</v>
      </c>
      <c r="J2" s="11">
        <f>TENJI!V2</f>
        <v>19</v>
      </c>
      <c r="K2" s="68">
        <f>KIMARITE!C3</f>
        <v>0.56299999999999994</v>
      </c>
      <c r="L2" s="68">
        <f>KIMARITE!D3</f>
        <v>0</v>
      </c>
      <c r="M2" s="68">
        <f>KIMARITE!E3</f>
        <v>0</v>
      </c>
      <c r="N2" s="68">
        <f>KIMARITE!F3</f>
        <v>0</v>
      </c>
      <c r="O2" s="68">
        <f>KIMARITE!G3</f>
        <v>0</v>
      </c>
      <c r="P2" s="68">
        <f>KIMARITE!H3</f>
        <v>0.156</v>
      </c>
      <c r="Q2" s="68">
        <f>KIMARITE!I3</f>
        <v>0.25</v>
      </c>
      <c r="R2" s="68">
        <f>KIMARITE!J3</f>
        <v>3.1E-2</v>
      </c>
      <c r="S2" s="68">
        <f>KIMARITE!K2 * (1 + (E2/100))</f>
        <v>0.54044000000000003</v>
      </c>
      <c r="T2" s="68" t="s">
        <v>156</v>
      </c>
      <c r="U2" s="68" t="s">
        <v>156</v>
      </c>
      <c r="V2" s="68" t="s">
        <v>156</v>
      </c>
      <c r="W2" s="68" t="s">
        <v>156</v>
      </c>
      <c r="X2" s="11" t="str">
        <f t="shared" ref="X2:X7" si="0">IF(AND(K2&gt;=0.2, B2=1),"逃げ型",
IF(L2&gt;=0.05,"差し型",
IF(OR(M2&gt;=0.05, N2&gt;=0.05),"攻め型",
IF(OR(P2&gt;=0.2, R2&gt;=0.2),"脆い型",
"無色"))))</f>
        <v>逃げ型</v>
      </c>
      <c r="Y2" s="11">
        <f>IF(X2="攻め型",1,
IF(X2="差し型",1,
IF(X2="逃げ型",1,
IF(X2="脆い型",-1,0))))</f>
        <v>1</v>
      </c>
      <c r="Z2" s="11">
        <f t="shared" ref="Z2:Z7" si="1">J2 + Y2</f>
        <v>20</v>
      </c>
      <c r="AA2" s="13">
        <f t="shared" ref="AA2:AA7" si="2">IF(
   AND(
      I2 = 0,
      Z2 &lt; MEDIAN($Z$2:$Z$7),
      OR(
         C2 &lt; 0.5,
         D2 &lt; 0.5
      )
   ),
   1,
   0
)</f>
        <v>0</v>
      </c>
    </row>
    <row r="3" spans="1:27">
      <c r="A3" s="12">
        <v>2</v>
      </c>
      <c r="B3" s="11">
        <v>2</v>
      </c>
      <c r="C3" s="68">
        <f>C12</f>
        <v>0.71399999999999997</v>
      </c>
      <c r="D3" s="68">
        <f>C14</f>
        <v>0.84599999999999997</v>
      </c>
      <c r="E3" s="11">
        <f>TENJI!Q3</f>
        <v>28</v>
      </c>
      <c r="F3" s="11" t="str">
        <f>TENJI!S3</f>
        <v>バランス</v>
      </c>
      <c r="G3" s="11">
        <f>TENJI!R3</f>
        <v>0</v>
      </c>
      <c r="H3" s="11">
        <f>TENJI!T3</f>
        <v>0</v>
      </c>
      <c r="I3" s="11">
        <f>TENJI!U3</f>
        <v>0</v>
      </c>
      <c r="J3" s="11">
        <f>TENJI!V3</f>
        <v>28</v>
      </c>
      <c r="K3" s="68">
        <f>KIMARITE!C5</f>
        <v>0</v>
      </c>
      <c r="L3" s="68">
        <f>KIMARITE!D5</f>
        <v>9.5000000000000001E-2</v>
      </c>
      <c r="M3" s="68">
        <f>KIMARITE!E5</f>
        <v>4.8000000000000001E-2</v>
      </c>
      <c r="N3" s="68">
        <f>KIMARITE!F5</f>
        <v>0</v>
      </c>
      <c r="O3" s="68">
        <f>KIMARITE!G5</f>
        <v>0.52400000000000002</v>
      </c>
      <c r="P3" s="68">
        <f>KIMARITE!H5</f>
        <v>0</v>
      </c>
      <c r="Q3" s="68">
        <f>KIMARITE!I5</f>
        <v>0</v>
      </c>
      <c r="R3" s="68">
        <f>KIMARITE!J5</f>
        <v>0</v>
      </c>
      <c r="S3" s="68">
        <f>(KIMARITE!L4 + KIMARITE!M4 + KIMARITE!N4) * (1 + (E3/100))</f>
        <v>0.28799999999999998</v>
      </c>
      <c r="T3" s="90" t="str">
        <f>IF(AND(KIMARITE!$P$2&gt;0.12, KIMARITE!L4&gt;0.12), "★2差し", "-")</f>
        <v>★2差し</v>
      </c>
      <c r="U3" s="90" t="str">
        <f>IF(AND(KIMARITE!$Q$2&gt;0.12, KIMARITE!M4&gt;0.12), "🔥2まくり", "-")</f>
        <v>-</v>
      </c>
      <c r="V3" s="90" t="str">
        <f>IF(AND(KIMARITE!$R$2&gt;0.12, KIMARITE!N4&gt;0.12), "✨2まくり差し", "-")</f>
        <v>-</v>
      </c>
      <c r="W3" s="68" t="str">
        <f>IF(KIMARITE!G4&gt;0.4, "🌓壁役(逃がし)", "-")</f>
        <v>🌓壁役(逃がし)</v>
      </c>
      <c r="X3" s="11" t="str">
        <f t="shared" si="0"/>
        <v>差し型</v>
      </c>
      <c r="Y3" s="11">
        <f t="shared" ref="Y3:Y7" si="3">IF(X3="攻め型",1,
IF(X3="差し型",1,
IF(X3="逃げ型",1,
IF(X3="脆い型",-1,0))))</f>
        <v>1</v>
      </c>
      <c r="Z3" s="11">
        <f t="shared" si="1"/>
        <v>29</v>
      </c>
      <c r="AA3" s="13">
        <f t="shared" si="2"/>
        <v>0</v>
      </c>
    </row>
    <row r="4" spans="1:27">
      <c r="A4" s="12">
        <v>3</v>
      </c>
      <c r="B4" s="11">
        <v>3</v>
      </c>
      <c r="C4" s="68">
        <f>D12</f>
        <v>0.64300000000000002</v>
      </c>
      <c r="D4" s="68">
        <f>D14</f>
        <v>0.75</v>
      </c>
      <c r="E4" s="11">
        <f>TENJI!Q4</f>
        <v>24</v>
      </c>
      <c r="F4" s="11" t="str">
        <f>TENJI!S4</f>
        <v>バランス</v>
      </c>
      <c r="G4" s="11">
        <f>TENJI!R4</f>
        <v>0</v>
      </c>
      <c r="H4" s="11">
        <f>TENJI!T4</f>
        <v>0</v>
      </c>
      <c r="I4" s="11">
        <f>TENJI!U4</f>
        <v>1</v>
      </c>
      <c r="J4" s="11">
        <f>TENJI!V4</f>
        <v>25</v>
      </c>
      <c r="K4" s="68">
        <f>KIMARITE!C7</f>
        <v>0</v>
      </c>
      <c r="L4" s="68">
        <f>KIMARITE!D7</f>
        <v>7.0999999999999994E-2</v>
      </c>
      <c r="M4" s="68">
        <f>KIMARITE!E7</f>
        <v>7.0999999999999994E-2</v>
      </c>
      <c r="N4" s="68">
        <f>KIMARITE!F7</f>
        <v>7.0999999999999994E-2</v>
      </c>
      <c r="O4" s="68">
        <f>KIMARITE!G7</f>
        <v>0</v>
      </c>
      <c r="P4" s="68">
        <f>KIMARITE!H7</f>
        <v>0</v>
      </c>
      <c r="Q4" s="68">
        <f>KIMARITE!I7</f>
        <v>0</v>
      </c>
      <c r="R4" s="68">
        <f>KIMARITE!J7</f>
        <v>0</v>
      </c>
      <c r="S4" s="68">
        <f>(KIMARITE!L6+KIMARITE!M6+KIMARITE!N6)*(1+(E4/100))</f>
        <v>0.20708000000000001</v>
      </c>
      <c r="T4" s="90" t="str">
        <f>IF(AND(KIMARITE!$P$2&gt;0.12, KIMARITE!L6&gt;0.12), "★3差し", "-")</f>
        <v>-</v>
      </c>
      <c r="U4" s="90" t="str">
        <f>IF(AND(KIMARITE!$Q$2&gt;0.12, KIMARITE!M6&gt;0.12), "🔥3まくり", "-")</f>
        <v>-</v>
      </c>
      <c r="V4" s="90" t="str">
        <f>IF(AND(KIMARITE!$R$2&gt;0.12, KIMARITE!N6&gt;0.12), "✨3まくり差し", "-")</f>
        <v>-</v>
      </c>
      <c r="W4" s="68" t="str">
        <f>IF(KIMARITE!G6&gt;0.4, "🛡️外ブロック", "-")</f>
        <v>-</v>
      </c>
      <c r="X4" s="11" t="str">
        <f t="shared" si="0"/>
        <v>差し型</v>
      </c>
      <c r="Y4" s="11">
        <f t="shared" si="3"/>
        <v>1</v>
      </c>
      <c r="Z4" s="11">
        <f t="shared" si="1"/>
        <v>26</v>
      </c>
      <c r="AA4" s="13">
        <f t="shared" si="2"/>
        <v>0</v>
      </c>
    </row>
    <row r="5" spans="1:27">
      <c r="A5" s="12">
        <v>4</v>
      </c>
      <c r="B5" s="11">
        <v>4</v>
      </c>
      <c r="C5" s="68">
        <f>E12</f>
        <v>0.38100000000000001</v>
      </c>
      <c r="D5" s="68">
        <f>E14</f>
        <v>0.5</v>
      </c>
      <c r="E5" s="11">
        <f>TENJI!Q5</f>
        <v>25</v>
      </c>
      <c r="F5" s="11" t="str">
        <f>TENJI!S5</f>
        <v>超伸び型</v>
      </c>
      <c r="G5" s="11">
        <f>TENJI!R5</f>
        <v>4</v>
      </c>
      <c r="H5" s="11">
        <f>TENJI!T5</f>
        <v>1</v>
      </c>
      <c r="I5" s="11">
        <f>TENJI!U5</f>
        <v>0</v>
      </c>
      <c r="J5" s="11">
        <f>TENJI!V5</f>
        <v>29</v>
      </c>
      <c r="K5" s="68">
        <f>KIMARITE!C9</f>
        <v>0</v>
      </c>
      <c r="L5" s="68">
        <f>KIMARITE!D9</f>
        <v>0</v>
      </c>
      <c r="M5" s="68">
        <f>KIMARITE!E9</f>
        <v>0</v>
      </c>
      <c r="N5" s="68">
        <f>KIMARITE!F9</f>
        <v>0</v>
      </c>
      <c r="O5" s="68">
        <f>KIMARITE!G9</f>
        <v>0</v>
      </c>
      <c r="P5" s="68">
        <f>KIMARITE!H9</f>
        <v>0</v>
      </c>
      <c r="Q5" s="68">
        <f>KIMARITE!I9</f>
        <v>0</v>
      </c>
      <c r="R5" s="68">
        <f>KIMARITE!J9</f>
        <v>0</v>
      </c>
      <c r="S5" s="68">
        <f>(KIMARITE!L8+KIMARITE!M8+KIMARITE!N8)*(1+(E5/100))</f>
        <v>0.11749999999999999</v>
      </c>
      <c r="T5" s="90" t="str">
        <f>IF(AND(KIMARITE!$P$2&gt;0.12, KIMARITE!L8&gt;0.12), "★4差し", "-")</f>
        <v>-</v>
      </c>
      <c r="U5" s="90" t="str">
        <f>IF(AND(KIMARITE!$Q$2&gt;0.12, KIMARITE!M8&gt;0.12), "🔥4まくり", "-")</f>
        <v>-</v>
      </c>
      <c r="V5" s="90" t="str">
        <f>IF(AND(KIMARITE!$R$2&gt;0.12, KIMARITE!N8&gt;0.12), "✨4まくり差し", "-")</f>
        <v>-</v>
      </c>
      <c r="W5" s="68" t="s">
        <v>156</v>
      </c>
      <c r="X5" s="11" t="str">
        <f t="shared" si="0"/>
        <v>無色</v>
      </c>
      <c r="Y5" s="11">
        <f t="shared" si="3"/>
        <v>0</v>
      </c>
      <c r="Z5" s="11">
        <f t="shared" si="1"/>
        <v>29</v>
      </c>
      <c r="AA5" s="13">
        <f t="shared" si="2"/>
        <v>0</v>
      </c>
    </row>
    <row r="6" spans="1:27">
      <c r="A6" s="12">
        <v>5</v>
      </c>
      <c r="B6" s="11">
        <v>5</v>
      </c>
      <c r="C6" s="68">
        <f>F12</f>
        <v>0.57899999999999996</v>
      </c>
      <c r="D6" s="68">
        <f>F14</f>
        <v>0.6</v>
      </c>
      <c r="E6" s="11">
        <f>TENJI!Q6</f>
        <v>22</v>
      </c>
      <c r="F6" s="11" t="str">
        <f>TENJI!S6</f>
        <v>バランス</v>
      </c>
      <c r="G6" s="11">
        <f>TENJI!R6</f>
        <v>0</v>
      </c>
      <c r="H6" s="11">
        <f>TENJI!T6</f>
        <v>0</v>
      </c>
      <c r="I6" s="11">
        <f>TENJI!U6</f>
        <v>1</v>
      </c>
      <c r="J6" s="11">
        <f>TENJI!V6</f>
        <v>23</v>
      </c>
      <c r="K6" s="68">
        <f>KIMARITE!C11</f>
        <v>0</v>
      </c>
      <c r="L6" s="68">
        <f>KIMARITE!D11</f>
        <v>0</v>
      </c>
      <c r="M6" s="68">
        <f>KIMARITE!E11</f>
        <v>5.2999999999999999E-2</v>
      </c>
      <c r="N6" s="68">
        <f>KIMARITE!F11</f>
        <v>0.105</v>
      </c>
      <c r="O6" s="68">
        <f>KIMARITE!G11</f>
        <v>0</v>
      </c>
      <c r="P6" s="68">
        <f>KIMARITE!H11</f>
        <v>0</v>
      </c>
      <c r="Q6" s="68">
        <f>KIMARITE!I11</f>
        <v>0</v>
      </c>
      <c r="R6" s="68">
        <f>KIMARITE!J11</f>
        <v>0</v>
      </c>
      <c r="S6" s="68">
        <f>(KIMARITE!L10+KIMARITE!M10+KIMARITE!N10)*(1+(E6/100))</f>
        <v>0.16958000000000001</v>
      </c>
      <c r="T6" s="90" t="str">
        <f>IF(AND(KIMARITE!$P$2&gt;0.12, KIMARITE!L10&gt;0.12), "★5差し", "-")</f>
        <v>-</v>
      </c>
      <c r="U6" s="90" t="str">
        <f>IF(AND(KIMARITE!$Q$2&gt;0.12, KIMARITE!M10&gt;0.12), "🔥5まくり", "-")</f>
        <v>-</v>
      </c>
      <c r="V6" s="90" t="str">
        <f>IF(AND(KIMARITE!$R$2&gt;0.12, KIMARITE!N10&gt;0.12), "✨5まくり差し", "-")</f>
        <v>-</v>
      </c>
      <c r="W6" s="68" t="s">
        <v>156</v>
      </c>
      <c r="X6" s="11" t="str">
        <f t="shared" si="0"/>
        <v>攻め型</v>
      </c>
      <c r="Y6" s="11">
        <f t="shared" si="3"/>
        <v>1</v>
      </c>
      <c r="Z6" s="11">
        <f t="shared" si="1"/>
        <v>24</v>
      </c>
      <c r="AA6" s="13">
        <f t="shared" si="2"/>
        <v>0</v>
      </c>
    </row>
    <row r="7" spans="1:27" ht="14.25" thickBot="1">
      <c r="A7" s="14">
        <v>6</v>
      </c>
      <c r="B7" s="26">
        <v>6</v>
      </c>
      <c r="C7" s="69">
        <f>G12</f>
        <v>0.45500000000000002</v>
      </c>
      <c r="D7" s="69">
        <f>G14</f>
        <v>0.66700000000000004</v>
      </c>
      <c r="E7" s="26">
        <f>TENJI!Q7</f>
        <v>21</v>
      </c>
      <c r="F7" s="26" t="str">
        <f>TENJI!S7</f>
        <v>バランス</v>
      </c>
      <c r="G7" s="26">
        <f>TENJI!R7</f>
        <v>0</v>
      </c>
      <c r="H7" s="26">
        <f>TENJI!T7</f>
        <v>0</v>
      </c>
      <c r="I7" s="26">
        <f>TENJI!U7</f>
        <v>0</v>
      </c>
      <c r="J7" s="26">
        <f>TENJI!V7</f>
        <v>21</v>
      </c>
      <c r="K7" s="69">
        <f>KIMARITE!C13</f>
        <v>0</v>
      </c>
      <c r="L7" s="69">
        <f>KIMARITE!D13</f>
        <v>0</v>
      </c>
      <c r="M7" s="69">
        <f>KIMARITE!E13</f>
        <v>0</v>
      </c>
      <c r="N7" s="69">
        <f>KIMARITE!F13</f>
        <v>0</v>
      </c>
      <c r="O7" s="69">
        <f>KIMARITE!G13</f>
        <v>0</v>
      </c>
      <c r="P7" s="69">
        <f>KIMARITE!H13</f>
        <v>0</v>
      </c>
      <c r="Q7" s="69">
        <f>KIMARITE!I13</f>
        <v>0</v>
      </c>
      <c r="R7" s="69">
        <f>KIMARITE!J13</f>
        <v>0</v>
      </c>
      <c r="S7" s="69">
        <f>(KIMARITE!L12+KIMARITE!M12+KIMARITE!N12)*(1+(E7/100))</f>
        <v>0</v>
      </c>
      <c r="T7" s="91" t="str">
        <f>IF(AND(KIMARITE!$P$2&gt;0.12, KIMARITE!L12&gt;0.12), "★6差し", "-")</f>
        <v>-</v>
      </c>
      <c r="U7" s="91" t="str">
        <f>IF(AND(KIMARITE!$Q$2&gt;0.12, KIMARITE!M12&gt;0.12), "🔥6まくり", "-")</f>
        <v>-</v>
      </c>
      <c r="V7" s="91" t="str">
        <f>IF(AND(KIMARITE!$R$2&gt;0.12, KIMARITE!N12&gt;0.12), "✨6まくり差し", "-")</f>
        <v>-</v>
      </c>
      <c r="W7" s="69" t="s">
        <v>156</v>
      </c>
      <c r="X7" s="26" t="str">
        <f t="shared" si="0"/>
        <v>無色</v>
      </c>
      <c r="Y7" s="26">
        <f t="shared" si="3"/>
        <v>0</v>
      </c>
      <c r="Z7" s="26">
        <f t="shared" si="1"/>
        <v>21</v>
      </c>
      <c r="AA7" s="15">
        <f t="shared" si="2"/>
        <v>1</v>
      </c>
    </row>
    <row r="10" spans="1:27" ht="14.25" thickBot="1">
      <c r="A10" s="1" t="s">
        <v>109</v>
      </c>
    </row>
    <row r="11" spans="1:27" ht="15" customHeight="1">
      <c r="A11" s="2" t="s">
        <v>110</v>
      </c>
      <c r="B11" s="3"/>
      <c r="C11" s="3"/>
      <c r="D11" s="3"/>
      <c r="E11" s="3"/>
      <c r="F11" s="3"/>
      <c r="G11" s="3"/>
      <c r="H11" s="4"/>
    </row>
    <row r="12" spans="1:27" ht="18" customHeight="1">
      <c r="A12" s="5" t="s">
        <v>111</v>
      </c>
      <c r="B12" s="66">
        <v>0.81299999999999994</v>
      </c>
      <c r="C12" s="66">
        <v>0.71399999999999997</v>
      </c>
      <c r="D12" s="66">
        <v>0.64300000000000002</v>
      </c>
      <c r="E12" s="66">
        <v>0.38100000000000001</v>
      </c>
      <c r="F12" s="66">
        <v>0.57899999999999996</v>
      </c>
      <c r="G12" s="66">
        <v>0.45500000000000002</v>
      </c>
      <c r="H12" s="6"/>
    </row>
    <row r="13" spans="1:27">
      <c r="A13" s="5"/>
      <c r="B13" s="1">
        <v>-32</v>
      </c>
      <c r="C13" s="1">
        <v>-21</v>
      </c>
      <c r="D13" s="1">
        <v>-14</v>
      </c>
      <c r="E13" s="1">
        <v>-21</v>
      </c>
      <c r="F13" s="1">
        <v>-19</v>
      </c>
      <c r="G13" s="1">
        <v>-22</v>
      </c>
      <c r="H13" s="6"/>
    </row>
    <row r="14" spans="1:27" ht="18" customHeight="1">
      <c r="A14" s="5" t="s">
        <v>112</v>
      </c>
      <c r="B14" s="66">
        <v>0.92900000000000005</v>
      </c>
      <c r="C14" s="66">
        <v>0.84599999999999997</v>
      </c>
      <c r="D14" s="66">
        <v>0.75</v>
      </c>
      <c r="E14" s="66">
        <v>0.5</v>
      </c>
      <c r="F14" s="66">
        <v>0.6</v>
      </c>
      <c r="G14" s="66">
        <v>0.66700000000000004</v>
      </c>
      <c r="H14" s="6"/>
    </row>
    <row r="15" spans="1:27">
      <c r="A15" s="5"/>
      <c r="B15" s="1">
        <v>-14</v>
      </c>
      <c r="C15" s="1">
        <v>-13</v>
      </c>
      <c r="D15" s="1">
        <v>-4</v>
      </c>
      <c r="E15" s="1">
        <v>-10</v>
      </c>
      <c r="F15" s="1">
        <v>-10</v>
      </c>
      <c r="G15" s="1">
        <v>-9</v>
      </c>
      <c r="H15" s="6"/>
    </row>
    <row r="16" spans="1:27" ht="14.25" customHeight="1" thickBot="1">
      <c r="A16" s="7"/>
      <c r="B16" s="8"/>
      <c r="C16" s="8"/>
      <c r="D16" s="8"/>
      <c r="E16" s="8"/>
      <c r="F16" s="8"/>
      <c r="G16" s="8"/>
      <c r="H16" s="9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2B5D-F82E-449F-A05D-13583302BDAD}">
  <dimension ref="B3:E44"/>
  <sheetViews>
    <sheetView tabSelected="1" topLeftCell="A21" workbookViewId="0">
      <selection activeCell="B32" sqref="B32"/>
    </sheetView>
  </sheetViews>
  <sheetFormatPr defaultRowHeight="13.5"/>
  <cols>
    <col min="1" max="1" width="9" style="1"/>
    <col min="2" max="2" width="25.375" style="1" bestFit="1" customWidth="1"/>
    <col min="3" max="3" width="10.5" style="1" bestFit="1" customWidth="1"/>
    <col min="4" max="4" width="12.75" style="1" bestFit="1" customWidth="1"/>
    <col min="5" max="5" width="9.75" style="1" customWidth="1"/>
    <col min="6" max="6" width="11.75" style="1" bestFit="1" customWidth="1"/>
    <col min="7" max="16384" width="9" style="1"/>
  </cols>
  <sheetData>
    <row r="3" spans="2:5">
      <c r="B3" s="1" t="s">
        <v>504</v>
      </c>
      <c r="C3" s="1" t="s">
        <v>505</v>
      </c>
      <c r="D3" s="1" t="s">
        <v>509</v>
      </c>
      <c r="E3" s="1" t="s">
        <v>507</v>
      </c>
    </row>
    <row r="4" spans="2:5">
      <c r="B4" s="1" t="s">
        <v>0</v>
      </c>
      <c r="C4" s="1" t="str">
        <f>CHAR(64+ROW(A1))&amp;"2～7"</f>
        <v>A2～7</v>
      </c>
      <c r="D4" s="1" t="str">
        <f>CHAR(64+ROW(B2))&amp;"50～55"</f>
        <v>B50～55</v>
      </c>
      <c r="E4" s="1" t="s">
        <v>508</v>
      </c>
    </row>
    <row r="5" spans="2:5">
      <c r="B5" s="1" t="s">
        <v>90</v>
      </c>
      <c r="C5" s="1" t="str">
        <f t="shared" ref="C5:C29" si="0">CHAR(64+ROW(A2))&amp;"2～7"</f>
        <v>B2～7</v>
      </c>
      <c r="D5" s="1" t="str">
        <f t="shared" ref="D5:D7" si="1">CHAR(64+ROW(B3))&amp;"50～55"</f>
        <v>C50～55</v>
      </c>
      <c r="E5" s="1" t="s">
        <v>510</v>
      </c>
    </row>
    <row r="6" spans="2:5">
      <c r="B6" s="1" t="s">
        <v>497</v>
      </c>
      <c r="C6" s="1" t="str">
        <f t="shared" si="0"/>
        <v>C2～7</v>
      </c>
      <c r="D6" s="1" t="str">
        <f t="shared" si="1"/>
        <v>D50～55</v>
      </c>
      <c r="E6" s="1" t="s">
        <v>511</v>
      </c>
    </row>
    <row r="7" spans="2:5">
      <c r="B7" s="1" t="s">
        <v>498</v>
      </c>
      <c r="C7" s="1" t="str">
        <f t="shared" si="0"/>
        <v>D2～7</v>
      </c>
      <c r="D7" s="1" t="str">
        <f t="shared" si="1"/>
        <v>E50～55</v>
      </c>
      <c r="E7" s="1" t="s">
        <v>511</v>
      </c>
    </row>
    <row r="8" spans="2:5">
      <c r="B8" s="1" t="s">
        <v>499</v>
      </c>
      <c r="C8" s="1" t="str">
        <f t="shared" si="0"/>
        <v>E2～7</v>
      </c>
      <c r="D8" s="1" t="s">
        <v>156</v>
      </c>
      <c r="E8" s="1" t="s">
        <v>512</v>
      </c>
    </row>
    <row r="9" spans="2:5">
      <c r="B9" s="1" t="s">
        <v>93</v>
      </c>
      <c r="C9" s="1" t="str">
        <f t="shared" si="0"/>
        <v>F2～7</v>
      </c>
      <c r="D9" s="1" t="s">
        <v>156</v>
      </c>
      <c r="E9" s="1" t="s">
        <v>513</v>
      </c>
    </row>
    <row r="10" spans="2:5">
      <c r="B10" s="1" t="s">
        <v>94</v>
      </c>
      <c r="C10" s="1" t="str">
        <f t="shared" si="0"/>
        <v>G2～7</v>
      </c>
      <c r="D10" s="1" t="s">
        <v>156</v>
      </c>
      <c r="E10" s="1" t="s">
        <v>514</v>
      </c>
    </row>
    <row r="11" spans="2:5">
      <c r="B11" s="1" t="s">
        <v>95</v>
      </c>
      <c r="C11" s="1" t="str">
        <f t="shared" si="0"/>
        <v>H2～7</v>
      </c>
      <c r="D11" s="1" t="s">
        <v>156</v>
      </c>
      <c r="E11" s="1" t="s">
        <v>515</v>
      </c>
    </row>
    <row r="12" spans="2:5">
      <c r="B12" s="1" t="s">
        <v>96</v>
      </c>
      <c r="C12" s="1" t="str">
        <f t="shared" si="0"/>
        <v>I2～7</v>
      </c>
      <c r="D12" s="1" t="s">
        <v>156</v>
      </c>
      <c r="E12" s="1" t="s">
        <v>516</v>
      </c>
    </row>
    <row r="13" spans="2:5">
      <c r="B13" s="1" t="s">
        <v>500</v>
      </c>
      <c r="C13" s="1" t="str">
        <f t="shared" si="0"/>
        <v>J2～7</v>
      </c>
      <c r="D13" s="1" t="s">
        <v>156</v>
      </c>
      <c r="E13" s="1" t="s">
        <v>517</v>
      </c>
    </row>
    <row r="14" spans="2:5">
      <c r="B14" s="1" t="s">
        <v>98</v>
      </c>
      <c r="C14" s="1" t="str">
        <f t="shared" si="0"/>
        <v>K2～7</v>
      </c>
      <c r="D14" s="1" t="s">
        <v>156</v>
      </c>
      <c r="E14" s="1" t="s">
        <v>518</v>
      </c>
    </row>
    <row r="15" spans="2:5">
      <c r="B15" s="1" t="s">
        <v>99</v>
      </c>
      <c r="C15" s="1" t="str">
        <f t="shared" si="0"/>
        <v>L2～7</v>
      </c>
      <c r="D15" s="1" t="s">
        <v>156</v>
      </c>
      <c r="E15" s="1" t="s">
        <v>518</v>
      </c>
    </row>
    <row r="16" spans="2:5">
      <c r="B16" s="1" t="s">
        <v>501</v>
      </c>
      <c r="C16" s="1" t="str">
        <f t="shared" si="0"/>
        <v>M2～7</v>
      </c>
      <c r="D16" s="1" t="s">
        <v>156</v>
      </c>
      <c r="E16" s="1" t="s">
        <v>518</v>
      </c>
    </row>
    <row r="17" spans="2:5">
      <c r="B17" s="1" t="s">
        <v>100</v>
      </c>
      <c r="C17" s="1" t="str">
        <f t="shared" si="0"/>
        <v>N2～7</v>
      </c>
      <c r="D17" s="1" t="s">
        <v>156</v>
      </c>
      <c r="E17" s="1" t="s">
        <v>518</v>
      </c>
    </row>
    <row r="18" spans="2:5">
      <c r="B18" s="1" t="s">
        <v>101</v>
      </c>
      <c r="C18" s="1" t="str">
        <f t="shared" si="0"/>
        <v>O2～7</v>
      </c>
      <c r="D18" s="1" t="s">
        <v>156</v>
      </c>
      <c r="E18" s="1" t="s">
        <v>518</v>
      </c>
    </row>
    <row r="19" spans="2:5">
      <c r="B19" s="1" t="s">
        <v>102</v>
      </c>
      <c r="C19" s="1" t="str">
        <f t="shared" si="0"/>
        <v>P2～7</v>
      </c>
      <c r="D19" s="1" t="s">
        <v>156</v>
      </c>
      <c r="E19" s="1" t="s">
        <v>518</v>
      </c>
    </row>
    <row r="20" spans="2:5">
      <c r="B20" s="1" t="s">
        <v>103</v>
      </c>
      <c r="C20" s="1" t="str">
        <f t="shared" si="0"/>
        <v>Q2～7</v>
      </c>
      <c r="D20" s="1" t="s">
        <v>156</v>
      </c>
      <c r="E20" s="1" t="s">
        <v>518</v>
      </c>
    </row>
    <row r="21" spans="2:5">
      <c r="B21" s="1" t="s">
        <v>104</v>
      </c>
      <c r="C21" s="1" t="str">
        <f t="shared" si="0"/>
        <v>R2～7</v>
      </c>
      <c r="D21" s="1" t="s">
        <v>156</v>
      </c>
      <c r="E21" s="1" t="s">
        <v>518</v>
      </c>
    </row>
    <row r="22" spans="2:5">
      <c r="B22" s="1" t="s">
        <v>150</v>
      </c>
      <c r="C22" s="1" t="str">
        <f t="shared" si="0"/>
        <v>S2～7</v>
      </c>
      <c r="D22" s="1" t="str">
        <f>CHAR(64+ROW(B6))&amp;"50～55"</f>
        <v>F50～55</v>
      </c>
      <c r="E22" s="1" t="s">
        <v>519</v>
      </c>
    </row>
    <row r="23" spans="2:5">
      <c r="B23" s="1" t="s">
        <v>152</v>
      </c>
      <c r="C23" s="1" t="str">
        <f t="shared" si="0"/>
        <v>T2～7</v>
      </c>
      <c r="D23" s="1" t="str">
        <f t="shared" ref="D23:D30" si="2">CHAR(64+ROW(B7))&amp;"50～55"</f>
        <v>G50～55</v>
      </c>
      <c r="E23" s="1" t="s">
        <v>519</v>
      </c>
    </row>
    <row r="24" spans="2:5">
      <c r="B24" s="1" t="s">
        <v>153</v>
      </c>
      <c r="C24" s="1" t="str">
        <f t="shared" si="0"/>
        <v>U2～7</v>
      </c>
      <c r="D24" s="1" t="str">
        <f t="shared" si="2"/>
        <v>H50～55</v>
      </c>
      <c r="E24" s="1" t="s">
        <v>519</v>
      </c>
    </row>
    <row r="25" spans="2:5">
      <c r="B25" s="1" t="s">
        <v>154</v>
      </c>
      <c r="C25" s="1" t="str">
        <f t="shared" si="0"/>
        <v>V2～7</v>
      </c>
      <c r="D25" s="1" t="str">
        <f t="shared" si="2"/>
        <v>I50～55</v>
      </c>
      <c r="E25" s="1" t="s">
        <v>519</v>
      </c>
    </row>
    <row r="26" spans="2:5">
      <c r="B26" s="1" t="s">
        <v>155</v>
      </c>
      <c r="C26" s="1" t="str">
        <f t="shared" si="0"/>
        <v>W2～7</v>
      </c>
      <c r="D26" s="1" t="str">
        <f t="shared" si="2"/>
        <v>J50～55</v>
      </c>
      <c r="E26" s="1" t="s">
        <v>519</v>
      </c>
    </row>
    <row r="27" spans="2:5">
      <c r="B27" s="1" t="s">
        <v>105</v>
      </c>
      <c r="C27" s="1" t="str">
        <f>CHAR(64+ROW(A24))&amp;"2～7"</f>
        <v>X2～7</v>
      </c>
      <c r="D27" s="1" t="str">
        <f t="shared" si="2"/>
        <v>K50～55</v>
      </c>
      <c r="E27" s="1" t="s">
        <v>519</v>
      </c>
    </row>
    <row r="28" spans="2:5">
      <c r="B28" s="1" t="s">
        <v>106</v>
      </c>
      <c r="C28" s="1" t="str">
        <f t="shared" si="0"/>
        <v>Y2～7</v>
      </c>
      <c r="D28" s="1" t="str">
        <f t="shared" si="2"/>
        <v>L50～55</v>
      </c>
      <c r="E28" s="1" t="s">
        <v>519</v>
      </c>
    </row>
    <row r="29" spans="2:5">
      <c r="B29" s="1" t="s">
        <v>502</v>
      </c>
      <c r="C29" s="1" t="str">
        <f t="shared" si="0"/>
        <v>Z2～7</v>
      </c>
      <c r="D29" s="1" t="str">
        <f t="shared" si="2"/>
        <v>M50～55</v>
      </c>
      <c r="E29" s="1" t="s">
        <v>519</v>
      </c>
    </row>
    <row r="30" spans="2:5">
      <c r="B30" s="1" t="s">
        <v>503</v>
      </c>
      <c r="C30" s="1" t="s">
        <v>506</v>
      </c>
      <c r="D30" s="1" t="str">
        <f t="shared" si="2"/>
        <v>N50～55</v>
      </c>
      <c r="E30" s="1" t="s">
        <v>519</v>
      </c>
    </row>
    <row r="32" spans="2:5">
      <c r="B32" s="1" t="s">
        <v>532</v>
      </c>
    </row>
    <row r="33" spans="2:2">
      <c r="B33" s="1" t="s">
        <v>520</v>
      </c>
    </row>
    <row r="34" spans="2:2">
      <c r="B34" s="1" t="s">
        <v>521</v>
      </c>
    </row>
    <row r="35" spans="2:2">
      <c r="B35" s="1" t="s">
        <v>522</v>
      </c>
    </row>
    <row r="36" spans="2:2">
      <c r="B36" s="1" t="s">
        <v>523</v>
      </c>
    </row>
    <row r="37" spans="2:2">
      <c r="B37" s="1" t="s">
        <v>524</v>
      </c>
    </row>
    <row r="38" spans="2:2">
      <c r="B38" s="1" t="s">
        <v>525</v>
      </c>
    </row>
    <row r="39" spans="2:2">
      <c r="B39" s="1" t="s">
        <v>526</v>
      </c>
    </row>
    <row r="40" spans="2:2">
      <c r="B40" s="1" t="s">
        <v>527</v>
      </c>
    </row>
    <row r="41" spans="2:2">
      <c r="B41" s="1" t="s">
        <v>528</v>
      </c>
    </row>
    <row r="42" spans="2:2">
      <c r="B42" s="1" t="s">
        <v>529</v>
      </c>
    </row>
    <row r="43" spans="2:2">
      <c r="B43" s="1" t="s">
        <v>530</v>
      </c>
    </row>
    <row r="44" spans="2:2">
      <c r="B44" s="1" t="s">
        <v>531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A8FC-645F-4FB7-8703-A2965AF3146F}">
  <sheetPr codeName="Sheet8"/>
  <dimension ref="A1:H3"/>
  <sheetViews>
    <sheetView workbookViewId="0">
      <selection activeCell="A3" sqref="A3:C3"/>
    </sheetView>
  </sheetViews>
  <sheetFormatPr defaultRowHeight="13.5"/>
  <cols>
    <col min="1" max="1" width="8.5" style="1" bestFit="1" customWidth="1"/>
    <col min="2" max="2" width="3.5" style="1" bestFit="1" customWidth="1"/>
    <col min="3" max="4" width="8.5" style="1" bestFit="1" customWidth="1"/>
    <col min="5" max="6" width="8.5" style="1" customWidth="1"/>
    <col min="7" max="7" width="11.625" style="1" bestFit="1" customWidth="1"/>
    <col min="8" max="8" width="13.875" style="1" bestFit="1" customWidth="1"/>
    <col min="9" max="10" width="11.625" style="1" bestFit="1" customWidth="1"/>
    <col min="11" max="16384" width="9" style="1"/>
  </cols>
  <sheetData>
    <row r="1" spans="1:8" s="10" customFormat="1" ht="40.5">
      <c r="A1" s="24" t="s">
        <v>113</v>
      </c>
      <c r="B1" s="25" t="s">
        <v>114</v>
      </c>
      <c r="C1" s="25" t="s">
        <v>115</v>
      </c>
      <c r="D1" s="25" t="s">
        <v>116</v>
      </c>
      <c r="E1" s="25" t="s">
        <v>117</v>
      </c>
      <c r="F1" s="25" t="s">
        <v>118</v>
      </c>
      <c r="G1" s="25" t="s">
        <v>119</v>
      </c>
      <c r="H1" s="16" t="s">
        <v>120</v>
      </c>
    </row>
    <row r="2" spans="1:8">
      <c r="A2" s="12" t="s">
        <v>121</v>
      </c>
      <c r="B2" s="11">
        <f>INDEX(FORECAST!A2:A7, MATCH(MAX(FORECAST!Z2:Z7), FORECAST!Z2:Z7, 0))</f>
        <v>2</v>
      </c>
      <c r="C2" s="11" t="str" cm="1">
        <f t="array" ref="C2">_xlfn.LET(
   _xlpm.head, B2,
   _xlpm.nums, _xlfn._xlws.FILTER(FORECAST!A2:A7, FORECAST!A2:A7&lt;&gt;_xlpm.head),
   _xlpm.scores, _xlfn._xlws.FILTER(FORECAST!Z2:Z7, FORECAST!A2:A7&lt;&gt;_xlpm.head),
   _xlpm.sorted, _xlfn.TAKE(_xlfn.SORTBY(_xlpm.nums, _xlpm.scores, -1), 3),
   _xlfn.TEXTJOIN("・", TRUE, _xlpm.sorted &amp; "")
)</f>
        <v>4・3・5</v>
      </c>
      <c r="D2" s="11" t="str" cm="1">
        <f t="array" ref="D2">_xlfn.TEXTJOIN("・", TRUE,
   IF(
      (FORECAST!$AA$2:$AA$7=1) *
      ISERROR(MATCH(FORECAST!$A$2:$A$7, --_xlfn.TEXTSPLIT(C2,"・"), 0)) *
      (FORECAST!$A$2:$A$7&lt;&gt;B2),
      FORECAST!$A$2:$A$7,
      ""
   )
)</f>
        <v>6</v>
      </c>
      <c r="E2" s="11" t="str">
        <f>_xlfn.TEXTJOIN("",,_xlfn.TEXTSPLIT(C2,"・"))</f>
        <v>435</v>
      </c>
      <c r="F2" s="11" t="str">
        <f>IF(D2="", "", _xlfn.TEXTJOIN("",,_xlfn.TEXTSPLIT(D2,"・")))</f>
        <v>6</v>
      </c>
      <c r="G2" s="11" t="str" cm="1">
        <f t="array" ref="G2">_xlfn.TEXTJOIN("・", TRUE,
   _xlfn.LET(
      _xlpm.mates, _xlfn.TEXTSPLIT(C2, "・"),
      _xlpm.scores, _xlfn.MAP(_xlpm.mates, _xlfn.LAMBDA(_xlpm.x,
         INDEX(FORECAST!Z2:Z7, MATCH(VALUE(_xlpm.x), VALUE(FORECAST!A2:A7), 0))
      )),
      _xlpm.scores
   )
)</f>
        <v>29・26・24</v>
      </c>
      <c r="H2" s="13" t="str" cm="1">
        <f t="array" ref="H2">IF(
  B2="",
  "",
  _xlfn.LET(
    _xlpm.head, TEXT(B2,"0"),
    _xlpm.mates, E2,
    _xlpm.cut, F2,
    _xlpm.used, _xlpm.head &amp; _xlpm.mates &amp; _xlpm.cut,
    _xlpm.nums, _xlfn.SEQUENCE(6),
    _xlpm.cond, ISNUMBER(IFERROR(FIND(TEXT(_xlpm.nums,"0"), _xlpm.used), "")),
    _xlpm.rest, _xlfn.TEXTJOIN("",,IF(_xlpm.cond, "", TEXT(_xlpm.nums,"0"))),
    _xlpm.head &amp; "-" &amp; _xlpm.mates &amp; "-" &amp; _xlpm.mates &amp; _xlpm.rest
  )
)</f>
        <v>2-435-4351</v>
      </c>
    </row>
    <row r="3" spans="1:8" ht="14.25" thickBot="1">
      <c r="A3" s="14" t="s">
        <v>122</v>
      </c>
      <c r="B3" s="26" cm="1">
        <f t="array" ref="B3">INDEX(FORECAST!$A$2:$A$7, MATCH(LARGE(IF(FORECAST!$A$2:$A$7&lt;&gt;B2, FORECAST!$Z$2:$Z$7), 1), IF(FORECAST!$A$2:$A$7&lt;&gt;B2, FORECAST!$Z$2:$Z$7), 0))</f>
        <v>4</v>
      </c>
      <c r="C3" s="26" t="str" cm="1">
        <f t="array" ref="C3">_xlfn.TEXTJOIN("・", TRUE,
   _xlfn.LET(
      _xlpm.head, B3,
      _xlpm.nums, _xlfn._xlws.FILTER(FORECAST!A2:A7,
         (FORECAST!A2:A7&lt;&gt;_xlpm.head)
      ),
      _xlpm.scores, _xlfn._xlws.FILTER(FORECAST!Z2:Z7,
         (FORECAST!A2:A7&lt;&gt;_xlpm.head)
      ),
      _xlpm.sorted, _xlfn.TAKE(_xlfn.SORTBY(_xlpm.nums, _xlpm.scores, -1), 3),
      _xlpm.sorted
   )
)</f>
        <v>2・3・5</v>
      </c>
      <c r="D3" s="26" t="str" cm="1">
        <f t="array" ref="D3">_xlfn.TEXTJOIN("・", TRUE,
   IF(
      (FORECAST!$AA$2:$AA$7=1) *
      ISERROR(MATCH(FORECAST!$A$2:$A$7, --_xlfn.TEXTSPLIT(C3,"・"), 0)) *
      (FORECAST!$A$2:$A$7&lt;&gt;B3),
      FORECAST!$A$2:$A$7,
      ""
   )
)</f>
        <v>6</v>
      </c>
      <c r="E3" s="11" t="str">
        <f>_xlfn.TEXTJOIN("",,_xlfn.TEXTSPLIT(C3,"・"))</f>
        <v>235</v>
      </c>
      <c r="F3" s="11" t="str">
        <f>IF(D3="", "", _xlfn.TEXTJOIN("",,_xlfn.TEXTSPLIT(D3,"・")))</f>
        <v>6</v>
      </c>
      <c r="G3" s="26" t="str" cm="1">
        <f t="array" ref="G3">_xlfn.TEXTJOIN("・", TRUE,
   _xlfn.LET(
      _xlpm.mates, _xlfn.TEXTSPLIT(C3, "・"),
      _xlpm.scores, _xlfn.MAP(_xlpm.mates, _xlfn.LAMBDA(_xlpm.x,
         INDEX(FORECAST!Z2:Z7, MATCH(VALUE(_xlpm.x), VALUE(FORECAST!A2:A7), 0))
      )),
      _xlpm.scores
   )
)</f>
        <v>29・26・24</v>
      </c>
      <c r="H3" s="13" t="str" cm="1">
        <f t="array" ref="H3">IF(
  B3="",
  "",
  _xlfn.LET(
    _xlpm.head, TEXT(B3,"0"),
    _xlpm.mates, E3,
    _xlpm.cut, F3,
    _xlpm.used, _xlpm.head &amp; _xlpm.mates &amp; _xlpm.cut,
    _xlpm.nums, _xlfn.SEQUENCE(6),
    _xlpm.cond, ISNUMBER(IFERROR(FIND(TEXT(_xlpm.nums,"0"), _xlpm.used), "")),
    _xlpm.rest, _xlfn.TEXTJOIN("",,IF(_xlpm.cond, "", TEXT(_xlpm.nums,"0"))),
    _xlpm.head &amp; "-" &amp; _xlpm.mates &amp; "-" &amp; _xlpm.mates &amp; _xlpm.rest
  )
)</f>
        <v>4-235-2351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65B7-88D2-4A2E-BE43-09D894FEEFB0}">
  <sheetPr codeName="Sheet9"/>
  <dimension ref="B1:G17"/>
  <sheetViews>
    <sheetView workbookViewId="0">
      <selection activeCell="G4" sqref="G4"/>
    </sheetView>
  </sheetViews>
  <sheetFormatPr defaultRowHeight="13.5"/>
  <cols>
    <col min="1" max="1" width="9" style="1"/>
    <col min="2" max="2" width="15.875" style="1" bestFit="1" customWidth="1"/>
    <col min="3" max="3" width="8.5" style="1" bestFit="1" customWidth="1"/>
    <col min="4" max="4" width="6" style="1" customWidth="1"/>
    <col min="5" max="5" width="8.25" style="1" bestFit="1" customWidth="1"/>
    <col min="6" max="6" width="7" style="1" customWidth="1"/>
    <col min="7" max="7" width="9.5" style="1" bestFit="1" customWidth="1"/>
    <col min="8" max="8" width="25" style="1" bestFit="1" customWidth="1"/>
    <col min="9" max="16384" width="9" style="1"/>
  </cols>
  <sheetData>
    <row r="1" spans="2:7" ht="14.25" thickBot="1"/>
    <row r="2" spans="2:7" ht="27">
      <c r="B2" s="92" t="s">
        <v>159</v>
      </c>
      <c r="C2" s="99" t="s">
        <v>160</v>
      </c>
      <c r="D2" s="112" t="s">
        <v>222</v>
      </c>
      <c r="E2" s="113"/>
      <c r="F2" s="112" t="s">
        <v>223</v>
      </c>
      <c r="G2" s="114"/>
    </row>
    <row r="3" spans="2:7" ht="54">
      <c r="B3" s="92" t="s">
        <v>161</v>
      </c>
      <c r="C3" s="99" t="s">
        <v>162</v>
      </c>
      <c r="D3" s="12" t="s">
        <v>220</v>
      </c>
      <c r="E3" s="28" t="s">
        <v>221</v>
      </c>
      <c r="F3" s="12" t="s">
        <v>220</v>
      </c>
      <c r="G3" s="13" t="s">
        <v>221</v>
      </c>
    </row>
    <row r="4" spans="2:7">
      <c r="B4" s="93" t="s">
        <v>219</v>
      </c>
      <c r="C4" s="94" t="s">
        <v>163</v>
      </c>
      <c r="D4" s="12">
        <v>1</v>
      </c>
      <c r="E4" s="28" t="s">
        <v>176</v>
      </c>
      <c r="F4" s="12">
        <v>3</v>
      </c>
      <c r="G4" s="13" t="s">
        <v>177</v>
      </c>
    </row>
    <row r="5" spans="2:7">
      <c r="B5" s="93" t="s">
        <v>219</v>
      </c>
      <c r="C5" s="94" t="s">
        <v>164</v>
      </c>
      <c r="D5" s="12">
        <v>2</v>
      </c>
      <c r="E5" s="28" t="s">
        <v>179</v>
      </c>
      <c r="F5" s="95">
        <v>1</v>
      </c>
      <c r="G5" s="96" t="s">
        <v>180</v>
      </c>
    </row>
    <row r="6" spans="2:7">
      <c r="B6" s="93" t="s">
        <v>219</v>
      </c>
      <c r="C6" s="94" t="s">
        <v>165</v>
      </c>
      <c r="D6" s="12">
        <v>4</v>
      </c>
      <c r="E6" s="28" t="s">
        <v>181</v>
      </c>
      <c r="F6" s="12">
        <v>5</v>
      </c>
      <c r="G6" s="13" t="s">
        <v>182</v>
      </c>
    </row>
    <row r="7" spans="2:7">
      <c r="B7" s="93" t="s">
        <v>219</v>
      </c>
      <c r="C7" s="94" t="s">
        <v>167</v>
      </c>
      <c r="D7" s="12">
        <v>1</v>
      </c>
      <c r="E7" s="28" t="s">
        <v>184</v>
      </c>
      <c r="F7" s="95">
        <v>2</v>
      </c>
      <c r="G7" s="96" t="s">
        <v>185</v>
      </c>
    </row>
    <row r="8" spans="2:7">
      <c r="B8" s="93" t="s">
        <v>219</v>
      </c>
      <c r="C8" s="94" t="s">
        <v>169</v>
      </c>
      <c r="D8" s="12">
        <v>3</v>
      </c>
      <c r="E8" s="28" t="s">
        <v>186</v>
      </c>
      <c r="F8" s="12">
        <v>6</v>
      </c>
      <c r="G8" s="13" t="s">
        <v>187</v>
      </c>
    </row>
    <row r="9" spans="2:7">
      <c r="B9" s="93" t="s">
        <v>219</v>
      </c>
      <c r="C9" s="94" t="s">
        <v>170</v>
      </c>
      <c r="D9" s="12">
        <v>4</v>
      </c>
      <c r="E9" s="28" t="s">
        <v>188</v>
      </c>
      <c r="F9" s="95">
        <v>1</v>
      </c>
      <c r="G9" s="96" t="s">
        <v>189</v>
      </c>
    </row>
    <row r="10" spans="2:7">
      <c r="B10" s="93" t="s">
        <v>219</v>
      </c>
      <c r="C10" s="94" t="s">
        <v>171</v>
      </c>
      <c r="D10" s="12">
        <v>3</v>
      </c>
      <c r="E10" s="28" t="s">
        <v>190</v>
      </c>
      <c r="F10" s="12">
        <v>5</v>
      </c>
      <c r="G10" s="13" t="s">
        <v>191</v>
      </c>
    </row>
    <row r="11" spans="2:7">
      <c r="B11" s="93" t="s">
        <v>219</v>
      </c>
      <c r="C11" s="94" t="s">
        <v>168</v>
      </c>
      <c r="D11" s="95">
        <v>1</v>
      </c>
      <c r="E11" s="100" t="s">
        <v>193</v>
      </c>
      <c r="F11" s="12">
        <v>6</v>
      </c>
      <c r="G11" s="13" t="s">
        <v>194</v>
      </c>
    </row>
    <row r="12" spans="2:7">
      <c r="B12" s="93" t="s">
        <v>219</v>
      </c>
      <c r="C12" s="94" t="s">
        <v>169</v>
      </c>
      <c r="D12" s="95">
        <v>1</v>
      </c>
      <c r="E12" s="100" t="s">
        <v>187</v>
      </c>
      <c r="F12" s="12">
        <v>3</v>
      </c>
      <c r="G12" s="13" t="s">
        <v>195</v>
      </c>
    </row>
    <row r="13" spans="2:7">
      <c r="B13" s="93" t="s">
        <v>219</v>
      </c>
      <c r="C13" s="94" t="s">
        <v>166</v>
      </c>
      <c r="D13" s="12">
        <v>1</v>
      </c>
      <c r="E13" s="28" t="s">
        <v>197</v>
      </c>
      <c r="F13" s="12">
        <v>4</v>
      </c>
      <c r="G13" s="13" t="s">
        <v>177</v>
      </c>
    </row>
    <row r="14" spans="2:7">
      <c r="B14" s="93" t="s">
        <v>219</v>
      </c>
      <c r="C14" s="94" t="s">
        <v>165</v>
      </c>
      <c r="D14" s="12">
        <v>2</v>
      </c>
      <c r="E14" s="28" t="s">
        <v>200</v>
      </c>
      <c r="F14" s="12">
        <v>1</v>
      </c>
      <c r="G14" s="13" t="s">
        <v>201</v>
      </c>
    </row>
    <row r="15" spans="2:7" ht="14.25" thickBot="1">
      <c r="B15" s="93" t="s">
        <v>219</v>
      </c>
      <c r="C15" s="94" t="s">
        <v>172</v>
      </c>
      <c r="D15" s="14">
        <v>2</v>
      </c>
      <c r="E15" s="73" t="s">
        <v>217</v>
      </c>
      <c r="F15" s="97">
        <v>4</v>
      </c>
      <c r="G15" s="98" t="s">
        <v>218</v>
      </c>
    </row>
    <row r="17" spans="4:4">
      <c r="D17" s="1" t="s">
        <v>224</v>
      </c>
    </row>
  </sheetData>
  <mergeCells count="2">
    <mergeCell ref="D2:E2"/>
    <mergeCell ref="F2:G2"/>
  </mergeCells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A43F-CDEF-4BFF-B0EE-ACEB59431B4C}">
  <sheetPr codeName="Sheet10"/>
  <dimension ref="A1:E20"/>
  <sheetViews>
    <sheetView zoomScaleNormal="100" workbookViewId="0">
      <selection activeCell="F7" sqref="F7"/>
    </sheetView>
  </sheetViews>
  <sheetFormatPr defaultRowHeight="13.5"/>
  <cols>
    <col min="1" max="1" width="9" style="1"/>
    <col min="2" max="2" width="20.5" style="1" bestFit="1" customWidth="1"/>
    <col min="3" max="16384" width="9" style="1"/>
  </cols>
  <sheetData>
    <row r="1" spans="1:5" ht="14.25" thickBot="1">
      <c r="A1" s="1" t="s">
        <v>123</v>
      </c>
      <c r="D1" s="1" t="s">
        <v>124</v>
      </c>
    </row>
    <row r="2" spans="1:5" ht="54.75" thickBot="1">
      <c r="A2" s="19" t="s">
        <v>35</v>
      </c>
      <c r="B2" s="20" t="s">
        <v>22</v>
      </c>
      <c r="D2" s="21" t="s">
        <v>125</v>
      </c>
      <c r="E2" s="21" t="s">
        <v>126</v>
      </c>
    </row>
    <row r="3" spans="1:5" ht="19.5" thickTop="1">
      <c r="A3" s="17">
        <v>1</v>
      </c>
      <c r="B3" s="18" t="s">
        <v>127</v>
      </c>
      <c r="D3" s="22" t="s">
        <v>128</v>
      </c>
      <c r="E3" s="23">
        <v>6.7737804878048697</v>
      </c>
    </row>
    <row r="4" spans="1:5">
      <c r="A4" s="12">
        <v>2</v>
      </c>
      <c r="B4" s="13" t="s">
        <v>129</v>
      </c>
    </row>
    <row r="5" spans="1:5">
      <c r="A5" s="12">
        <v>3</v>
      </c>
      <c r="B5" s="13" t="s">
        <v>130</v>
      </c>
    </row>
    <row r="6" spans="1:5">
      <c r="A6" s="12">
        <v>4</v>
      </c>
      <c r="B6" s="13" t="s">
        <v>131</v>
      </c>
    </row>
    <row r="7" spans="1:5">
      <c r="A7" s="12">
        <v>5</v>
      </c>
      <c r="B7" s="13" t="s">
        <v>132</v>
      </c>
    </row>
    <row r="8" spans="1:5">
      <c r="A8" s="12">
        <v>6</v>
      </c>
      <c r="B8" s="13" t="s">
        <v>133</v>
      </c>
    </row>
    <row r="9" spans="1:5">
      <c r="A9" s="12">
        <v>7</v>
      </c>
      <c r="B9" s="13" t="s">
        <v>134</v>
      </c>
    </row>
    <row r="10" spans="1:5">
      <c r="A10" s="12">
        <v>8</v>
      </c>
      <c r="B10" s="13" t="s">
        <v>135</v>
      </c>
    </row>
    <row r="11" spans="1:5">
      <c r="A11" s="12">
        <v>9</v>
      </c>
      <c r="B11" s="13" t="s">
        <v>136</v>
      </c>
    </row>
    <row r="12" spans="1:5">
      <c r="A12" s="12">
        <v>10</v>
      </c>
      <c r="B12" s="13" t="s">
        <v>137</v>
      </c>
    </row>
    <row r="13" spans="1:5">
      <c r="A13" s="12">
        <v>11</v>
      </c>
      <c r="B13" s="13" t="s">
        <v>138</v>
      </c>
    </row>
    <row r="14" spans="1:5">
      <c r="A14" s="12">
        <v>12</v>
      </c>
      <c r="B14" s="13" t="s">
        <v>139</v>
      </c>
    </row>
    <row r="15" spans="1:5">
      <c r="A15" s="12">
        <v>13</v>
      </c>
      <c r="B15" s="13" t="s">
        <v>140</v>
      </c>
    </row>
    <row r="16" spans="1:5">
      <c r="A16" s="12">
        <v>14</v>
      </c>
      <c r="B16" s="13" t="s">
        <v>141</v>
      </c>
    </row>
    <row r="17" spans="1:2">
      <c r="A17" s="12">
        <v>15</v>
      </c>
      <c r="B17" s="13" t="s">
        <v>142</v>
      </c>
    </row>
    <row r="18" spans="1:2">
      <c r="A18" s="12">
        <v>16</v>
      </c>
      <c r="B18" s="13" t="s">
        <v>143</v>
      </c>
    </row>
    <row r="19" spans="1:2">
      <c r="A19" s="12">
        <v>17</v>
      </c>
      <c r="B19" s="13" t="s">
        <v>144</v>
      </c>
    </row>
    <row r="20" spans="1:2" ht="14.25" thickBot="1">
      <c r="A20" s="14">
        <v>18</v>
      </c>
      <c r="B20" s="15" t="s">
        <v>145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INPUT</vt:lpstr>
      <vt:lpstr>INPUT (2)</vt:lpstr>
      <vt:lpstr>Sheet4</vt:lpstr>
      <vt:lpstr>Sheet3</vt:lpstr>
      <vt:lpstr>KIMARITE</vt:lpstr>
      <vt:lpstr>Sheet2</vt:lpstr>
      <vt:lpstr>TENJI</vt:lpstr>
      <vt:lpstr>TENJI (2)</vt:lpstr>
      <vt:lpstr>Sheet5</vt:lpstr>
      <vt:lpstr>FORECAST</vt:lpstr>
      <vt:lpstr>FORECAST (2)</vt:lpstr>
      <vt:lpstr>Sheet7</vt:lpstr>
      <vt:lpstr>TICKET</vt:lpstr>
      <vt:lpstr>Sheet1</vt:lpstr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善幸宮崎</dc:creator>
  <cp:keywords/>
  <dc:description/>
  <cp:lastModifiedBy>宮崎 善幸</cp:lastModifiedBy>
  <cp:revision/>
  <dcterms:created xsi:type="dcterms:W3CDTF">2015-06-05T18:19:34Z</dcterms:created>
  <dcterms:modified xsi:type="dcterms:W3CDTF">2026-01-28T23:39:43Z</dcterms:modified>
  <cp:category/>
  <cp:contentStatus/>
</cp:coreProperties>
</file>