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BoatRaceLogic\sample\"/>
    </mc:Choice>
  </mc:AlternateContent>
  <xr:revisionPtr revIDLastSave="0" documentId="13_ncr:1_{31868416-B4D2-4F7A-ACB6-3751D7750909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INPUTイメージ" sheetId="4" r:id="rId1"/>
    <sheet name="INPUT" sheetId="3" r:id="rId2"/>
    <sheet name="展示取り込み" sheetId="1" r:id="rId3"/>
    <sheet name="非表示" sheetId="2" r:id="rId4"/>
  </sheets>
  <functionGroups builtInGroupCount="19"/>
  <definedNames>
    <definedName name="_xleta.LOG" hidden="1" xlm="1">#NAME?</definedName>
    <definedName name="_xleta.XLOOKUP" hidden="1" xlm="1">#NAME?</definedName>
    <definedName name="_xlpm.cond" hidden="1" xlm="1">#NAME?</definedName>
    <definedName name="_xlpm.cut" hidden="1" xlm="1">#NAME?</definedName>
    <definedName name="_xlpm.head" hidden="1" xlm="1">#NAME?</definedName>
    <definedName name="_xlpm.mates" hidden="1" xlm="1">#NAME?</definedName>
    <definedName name="_xlpm.nums" hidden="1" xlm="1">#NAME?</definedName>
    <definedName name="_xlpm.rest" hidden="1" xlm="1">#NAME?</definedName>
    <definedName name="_xlpm.scores" hidden="1" xlm="1">#NAME?</definedName>
    <definedName name="_xlpm.sorted" hidden="1" xlm="1">#NAME?</definedName>
    <definedName name="_xlpm.used" hidden="1" xlm="1">#NAME?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6" i="3" l="1"/>
  <c r="L67" i="3"/>
  <c r="L68" i="3"/>
  <c r="L69" i="3"/>
  <c r="L70" i="3"/>
  <c r="L65" i="3"/>
  <c r="J66" i="3"/>
  <c r="K66" i="3"/>
  <c r="J67" i="3"/>
  <c r="K67" i="3"/>
  <c r="J68" i="3"/>
  <c r="K68" i="3"/>
  <c r="J69" i="3"/>
  <c r="K69" i="3"/>
  <c r="J70" i="3"/>
  <c r="K70" i="3"/>
  <c r="K65" i="3"/>
  <c r="J65" i="3"/>
  <c r="L64" i="3"/>
  <c r="K64" i="3"/>
  <c r="J64" i="3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" i="2"/>
  <c r="D15" i="1"/>
  <c r="E15" i="1"/>
  <c r="F15" i="1"/>
  <c r="G15" i="1"/>
  <c r="H15" i="1"/>
  <c r="C15" i="1"/>
  <c r="C55" i="3"/>
  <c r="C54" i="3"/>
  <c r="C53" i="3"/>
  <c r="C52" i="3"/>
  <c r="C51" i="3"/>
  <c r="C58" i="3"/>
  <c r="C50" i="3"/>
  <c r="E5" i="3"/>
  <c r="E4" i="3"/>
  <c r="E3" i="3"/>
  <c r="M69" i="3" l="1"/>
  <c r="M68" i="3"/>
  <c r="M67" i="3"/>
  <c r="M66" i="3"/>
  <c r="M65" i="3"/>
  <c r="M70" i="3"/>
  <c r="D58" i="3" a="1"/>
  <c r="D58" i="3" s="1"/>
  <c r="F58" i="3" s="1"/>
  <c r="C59" i="3" a="1"/>
  <c r="C59" i="3" s="1"/>
  <c r="D3" i="3"/>
  <c r="M71" i="3" l="1"/>
  <c r="N65" i="3" s="1"/>
  <c r="R65" i="3" s="1"/>
  <c r="D59" i="3" a="1"/>
  <c r="D59" i="3" s="1"/>
  <c r="E58" i="3" a="1"/>
  <c r="E58" i="3" s="1"/>
  <c r="D12" i="1"/>
  <c r="E12" i="1"/>
  <c r="F12" i="1"/>
  <c r="G12" i="1"/>
  <c r="H12" i="1"/>
  <c r="C12" i="1"/>
  <c r="N67" i="3" l="1"/>
  <c r="P67" i="3" s="1"/>
  <c r="O65" i="3"/>
  <c r="Q65" i="3"/>
  <c r="P65" i="3"/>
  <c r="N68" i="3"/>
  <c r="P68" i="3" s="1"/>
  <c r="N70" i="3"/>
  <c r="Q70" i="3" s="1"/>
  <c r="N69" i="3"/>
  <c r="Q69" i="3" s="1"/>
  <c r="N66" i="3"/>
  <c r="R66" i="3" s="1"/>
  <c r="G58" i="3"/>
  <c r="H58" i="3" s="1" a="1"/>
  <c r="H58" i="3" s="1"/>
  <c r="F59" i="3"/>
  <c r="E59" i="3" a="1"/>
  <c r="E59" i="3" s="1"/>
  <c r="D11" i="1"/>
  <c r="E11" i="1"/>
  <c r="F11" i="1"/>
  <c r="G11" i="1"/>
  <c r="H11" i="1"/>
  <c r="D13" i="1"/>
  <c r="E13" i="1"/>
  <c r="F13" i="1"/>
  <c r="G13" i="1"/>
  <c r="H13" i="1"/>
  <c r="D14" i="1"/>
  <c r="E14" i="1"/>
  <c r="F14" i="1"/>
  <c r="G14" i="1"/>
  <c r="H14" i="1"/>
  <c r="C13" i="1"/>
  <c r="C14" i="1"/>
  <c r="C11" i="1"/>
  <c r="D10" i="1"/>
  <c r="E10" i="1"/>
  <c r="F10" i="1"/>
  <c r="G10" i="1"/>
  <c r="H10" i="1"/>
  <c r="C10" i="1"/>
  <c r="E3" i="1"/>
  <c r="E5" i="1"/>
  <c r="E4" i="1"/>
  <c r="O67" i="3" l="1"/>
  <c r="R67" i="3"/>
  <c r="Q67" i="3"/>
  <c r="P70" i="3"/>
  <c r="O66" i="3"/>
  <c r="O70" i="3"/>
  <c r="R70" i="3"/>
  <c r="O69" i="3"/>
  <c r="R69" i="3"/>
  <c r="Q66" i="3"/>
  <c r="P69" i="3"/>
  <c r="R68" i="3"/>
  <c r="Q68" i="3"/>
  <c r="O68" i="3"/>
  <c r="P66" i="3"/>
  <c r="G59" i="3"/>
  <c r="H59" i="3" s="1" a="1"/>
  <c r="H59" i="3" s="1"/>
  <c r="D3" i="1"/>
  <c r="D8" i="1" s="1"/>
  <c r="F8" i="1" l="1"/>
  <c r="E8" i="1"/>
  <c r="G8" i="1"/>
  <c r="H8" i="1"/>
  <c r="C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みやざきへるにあ</author>
  </authors>
  <commentList>
    <comment ref="P37" authorId="0" shapeId="0" xr:uid="{0D67A4A1-913E-4EC0-B7D9-375F05F2A1B7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この列が意味するもの
- H列（ST評価）
→ 攻め気配そのもの（F→負値変換で精度UP）
- K列（直線評価）
→ 攻めが届くかどうかの“伸び”
この2つが揃って初めて
「攻めが成立する艇」
として扱える。
</t>
        </r>
      </text>
    </comment>
    <comment ref="Q37" authorId="0" shapeId="0" xr:uid="{76B4B185-8D2E-4DEC-9BDF-2B9ADA37A2A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この列が意味するもの
- 高いほど安定して走れる艇
- まくり差し・差しの成功率に直結
- 展開予測で「残す艇」「崩れにくい艇」を判断する基礎になる
</t>
        </r>
      </text>
    </comment>
    <comment ref="R37" authorId="0" shapeId="0" xr:uid="{4E3FE500-0A37-4508-9423-D2CC0B5C0871}">
      <text>
        <r>
          <rPr>
            <b/>
            <sz val="9"/>
            <color indexed="81"/>
            <rFont val="MS P ゴシック"/>
            <family val="3"/>
            <charset val="128"/>
          </rPr>
          <t>🎯 この列が意味するもの
•  プラス → 展示で上積みがあった艇
→ 展開予測で“格上げ”候補
•  マイナス → 展示で評価が落ちた艇
→ 展開予測で“格下げ”候補
•  0付近 → 展示で大きな変化なし
宮崎さんのロジックでは、
この Q列が 展示タイプ補正（S列） や 展開予測の攻め艇選定 に効いてくる重要な指標になる。</t>
        </r>
      </text>
    </comment>
    <comment ref="S37" authorId="0" shapeId="0" xr:uid="{4A93DA44-A735-45C8-ABB1-9604CA584F83}">
      <text>
        <r>
          <rPr>
            <b/>
            <sz val="9"/>
            <color indexed="81"/>
            <rFont val="MS P ゴシック"/>
            <family val="3"/>
            <charset val="128"/>
          </rPr>
          <t>🎯 この列の意味
•  展示の総合力を一つの数値に集約
•  展開予測の基礎スコアとして使える
•  展示補正スコア（Q列）や展示タイプ補正（S列）と組み合わせると
→ “攻め艇” “残す艇” “弱い艇” が明確に分かれる</t>
        </r>
      </text>
    </comment>
    <comment ref="T37" authorId="0" shapeId="0" xr:uid="{DCC225C3-9835-4663-B889-BCECCCFDBB0B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この式のポイント
- 攻め型判定は O が P より2以上高いとき
→ ST＋直線が強い艇（5号艇など）
- 差し型判定は P が O より2以上高いとき
→ 周回＋周り足が強い艇（3号艇など）
- 伸び型は直線評価が上位1以内
→ 6号艇のような典型的伸び型を拾える
- どれにも当てはまらなければ 0（バランス型）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<sst xmlns="http://schemas.openxmlformats.org/spreadsheetml/2006/main" count="631" uniqueCount="323">
  <si>
    <t>■入力情報</t>
    <rPh sb="1" eb="3">
      <t>ニュウリョク</t>
    </rPh>
    <rPh sb="3" eb="5">
      <t>ジョウホウ</t>
    </rPh>
    <phoneticPr fontId="1"/>
  </si>
  <si>
    <t>日付</t>
    <rPh sb="0" eb="2">
      <t>ヒヅケ</t>
    </rPh>
    <phoneticPr fontId="1"/>
  </si>
  <si>
    <t>レース番号</t>
    <rPh sb="3" eb="5">
      <t>バンゴウ</t>
    </rPh>
    <phoneticPr fontId="1"/>
  </si>
  <si>
    <t>開催場所</t>
    <rPh sb="0" eb="4">
      <t>カイサイバショ</t>
    </rPh>
    <phoneticPr fontId="1"/>
  </si>
  <si>
    <t>01</t>
    <phoneticPr fontId="1"/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</si>
  <si>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</si>
  <si>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</si>
  <si>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</si>
  <si>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</si>
  <si>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</si>
  <si>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</si>
  <si>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</si>
  <si>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</si>
  <si>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</si>
  <si>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</si>
  <si>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</si>
  <si>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AMG</t>
  </si>
  <si>
    <t>尼崎</t>
  </si>
  <si>
    <t>ASY</t>
  </si>
  <si>
    <t>芦屋</t>
  </si>
  <si>
    <t>BWK</t>
  </si>
  <si>
    <t>びわこ</t>
  </si>
  <si>
    <t>EDG</t>
  </si>
  <si>
    <t>江戸川</t>
  </si>
  <si>
    <t>FKO</t>
  </si>
  <si>
    <t>福岡</t>
  </si>
  <si>
    <t>GMG</t>
  </si>
  <si>
    <t>蒲郡</t>
  </si>
  <si>
    <t>HMN</t>
  </si>
  <si>
    <t>浜名湖</t>
  </si>
  <si>
    <t>HWJ</t>
  </si>
  <si>
    <t>平和島</t>
  </si>
  <si>
    <t>KJM</t>
  </si>
  <si>
    <t>児島</t>
  </si>
  <si>
    <t>KRT</t>
  </si>
  <si>
    <t>唐津</t>
  </si>
  <si>
    <t>KRY</t>
  </si>
  <si>
    <t>桐生</t>
  </si>
  <si>
    <t>MKN</t>
  </si>
  <si>
    <t>三国</t>
  </si>
  <si>
    <t>MRG</t>
  </si>
  <si>
    <t>丸亀</t>
  </si>
  <si>
    <t>MYJ</t>
  </si>
  <si>
    <t>宮島</t>
  </si>
  <si>
    <t>NRT</t>
  </si>
  <si>
    <t>鳴門</t>
  </si>
  <si>
    <t>OMR</t>
  </si>
  <si>
    <t>大村</t>
  </si>
  <si>
    <t>SME</t>
  </si>
  <si>
    <t>住之江</t>
  </si>
  <si>
    <t>SMS</t>
  </si>
  <si>
    <t>下関</t>
  </si>
  <si>
    <t>TDA</t>
  </si>
  <si>
    <t>戸田</t>
  </si>
  <si>
    <t>TKN</t>
  </si>
  <si>
    <t>常滑</t>
  </si>
  <si>
    <t>TKY</t>
  </si>
  <si>
    <t>徳山</t>
  </si>
  <si>
    <t>TMG</t>
  </si>
  <si>
    <t>多摩川</t>
  </si>
  <si>
    <t>TSU</t>
  </si>
  <si>
    <t>津</t>
  </si>
  <si>
    <t>WKM</t>
  </si>
  <si>
    <t>若松</t>
  </si>
  <si>
    <t>開催場所</t>
    <phoneticPr fontId="1"/>
  </si>
  <si>
    <t>レースコード</t>
    <phoneticPr fontId="1"/>
  </si>
  <si>
    <t>race_code</t>
  </si>
  <si>
    <t>entry_course</t>
  </si>
  <si>
    <t>player_id</t>
  </si>
  <si>
    <t>exhibition_time</t>
  </si>
  <si>
    <t>start_timing</t>
  </si>
  <si>
    <t>lap_time</t>
  </si>
  <si>
    <t>around_time</t>
  </si>
  <si>
    <t>straight_time</t>
  </si>
  <si>
    <t>■DB登録情報</t>
    <rPh sb="3" eb="5">
      <t>トウロク</t>
    </rPh>
    <rPh sb="5" eb="7">
      <t>ジョウホウ</t>
    </rPh>
    <phoneticPr fontId="1"/>
  </si>
  <si>
    <t>■コピペ内容</t>
    <rPh sb="4" eb="6">
      <t>ナイヨウ</t>
    </rPh>
    <phoneticPr fontId="1"/>
  </si>
  <si>
    <t>進入</t>
  </si>
  <si>
    <t>展示</t>
  </si>
  <si>
    <t>ST</t>
  </si>
  <si>
    <t>周回</t>
  </si>
  <si>
    <t>周り足</t>
  </si>
  <si>
    <t>直線</t>
  </si>
  <si>
    <t>選手番号</t>
    <rPh sb="0" eb="4">
      <t>センシュバンゴウ</t>
    </rPh>
    <phoneticPr fontId="1"/>
  </si>
  <si>
    <t>艇番</t>
  </si>
  <si>
    <t>選手名</t>
  </si>
  <si>
    <t>勝率</t>
  </si>
  <si>
    <t>当地勝率</t>
  </si>
  <si>
    <t>モーター</t>
  </si>
  <si>
    <t>ボート</t>
  </si>
  <si>
    <t>級別</t>
  </si>
  <si>
    <t>支部</t>
  </si>
  <si>
    <t>勝率評価(10)</t>
  </si>
  <si>
    <t>当地評価(5)</t>
  </si>
  <si>
    <t>モーター評価(5)</t>
  </si>
  <si>
    <t>ボート評価(5)</t>
  </si>
  <si>
    <t>ST評価(5)</t>
  </si>
  <si>
    <t>地力スコア</t>
  </si>
  <si>
    <t>足スコア</t>
  </si>
  <si>
    <t>スタートスコア</t>
  </si>
  <si>
    <t>一次総合スコア</t>
  </si>
  <si>
    <t>タイプ分類</t>
  </si>
  <si>
    <t>一次評価</t>
  </si>
  <si>
    <t>中野　希一</t>
  </si>
  <si>
    <t>A1</t>
  </si>
  <si>
    <t>埼玉/</t>
  </si>
  <si>
    <t>石塚　久也</t>
  </si>
  <si>
    <t>A2</t>
  </si>
  <si>
    <t>中田　竜太</t>
  </si>
  <si>
    <t>佐藤　翼</t>
  </si>
  <si>
    <t>飛田　江己</t>
  </si>
  <si>
    <t>佐藤　航</t>
  </si>
  <si>
    <t>大前提：race_codeが全体を紐づけるもの。YYYYMMDD+場コード+レース番号となる。例:2026/1/25の大村1Rの場合→20260124OMR01</t>
    <rPh sb="0" eb="3">
      <t>ダイゼンテイ</t>
    </rPh>
    <rPh sb="14" eb="16">
      <t>ゼンタイ</t>
    </rPh>
    <rPh sb="17" eb="18">
      <t>ヒモ</t>
    </rPh>
    <rPh sb="33" eb="34">
      <t>ジョウ</t>
    </rPh>
    <rPh sb="41" eb="43">
      <t>バンゴウ</t>
    </rPh>
    <rPh sb="47" eb="48">
      <t>レイ</t>
    </rPh>
    <rPh sb="59" eb="61">
      <t>オオムラ</t>
    </rPh>
    <rPh sb="64" eb="66">
      <t>バアイ</t>
    </rPh>
    <phoneticPr fontId="1"/>
  </si>
  <si>
    <t>boat_race.race_entry</t>
  </si>
  <si>
    <t>lane_number</t>
  </si>
  <si>
    <t>player_name</t>
  </si>
  <si>
    <t>boat_race.player_stats</t>
  </si>
  <si>
    <t>national_win_rate</t>
  </si>
  <si>
    <t>local_win_rate</t>
  </si>
  <si>
    <t>boat_race.engine_specs</t>
  </si>
  <si>
    <t>motor_exacta_rate</t>
  </si>
  <si>
    <t>boat_exacta_rate</t>
  </si>
  <si>
    <t>boat_race.racer_results</t>
  </si>
  <si>
    <t>average_start</t>
  </si>
  <si>
    <t>term_infoが最新のものを対象</t>
    <rPh sb="10" eb="12">
      <t>サイシン</t>
    </rPh>
    <rPh sb="16" eb="18">
      <t>タイショウ</t>
    </rPh>
    <phoneticPr fontId="1"/>
  </si>
  <si>
    <t>今節ST偏差</t>
    <rPh sb="0" eb="2">
      <t>コンセツ</t>
    </rPh>
    <rPh sb="4" eb="6">
      <t>ヘンサ</t>
    </rPh>
    <phoneticPr fontId="1"/>
  </si>
  <si>
    <t>-</t>
  </si>
  <si>
    <t>不要</t>
    <rPh sb="0" eb="2">
      <t>フヨウ</t>
    </rPh>
    <phoneticPr fontId="1"/>
  </si>
  <si>
    <t>フライング</t>
  </si>
  <si>
    <t>未取得</t>
    <rPh sb="0" eb="3">
      <t>ミシュトク</t>
    </rPh>
    <phoneticPr fontId="1"/>
  </si>
  <si>
    <t>class</t>
  </si>
  <si>
    <t>branch</t>
  </si>
  <si>
    <t>数式</t>
    <rPh sb="0" eb="2">
      <t>スウシキ</t>
    </rPh>
    <phoneticPr fontId="1"/>
  </si>
  <si>
    <t>フライングスコア</t>
  </si>
  <si>
    <t>偏差ペナルティ</t>
  </si>
  <si>
    <t>ここに公式から出走表を張り付ける</t>
    <rPh sb="3" eb="5">
      <t>コウシキ</t>
    </rPh>
    <rPh sb="7" eb="10">
      <t>シュッソウヒョウ</t>
    </rPh>
    <rPh sb="11" eb="12">
      <t>ハ</t>
    </rPh>
    <rPh sb="13" eb="14">
      <t>ツ</t>
    </rPh>
    <phoneticPr fontId="1"/>
  </si>
  <si>
    <t>枠</t>
  </si>
  <si>
    <t>ボートレーサー</t>
  </si>
  <si>
    <t>全国</t>
  </si>
  <si>
    <t>当地</t>
  </si>
  <si>
    <t>レースNo（艇番色）</t>
  </si>
  <si>
    <t>早見</t>
  </si>
  <si>
    <t>進入コース</t>
  </si>
  <si>
    <t>STタイミング</t>
  </si>
  <si>
    <t>写真</t>
  </si>
  <si>
    <t>登録番号/級別</t>
  </si>
  <si>
    <t>F数</t>
  </si>
  <si>
    <t>No</t>
  </si>
  <si>
    <t>成績</t>
  </si>
  <si>
    <t>氏名</t>
  </si>
  <si>
    <t>L数</t>
  </si>
  <si>
    <t>2連率</t>
  </si>
  <si>
    <t>支部/出身地</t>
  </si>
  <si>
    <t>平均ST</t>
  </si>
  <si>
    <t>3連率</t>
  </si>
  <si>
    <t>年齢/体重</t>
  </si>
  <si>
    <t>初日</t>
  </si>
  <si>
    <t>２日目</t>
  </si>
  <si>
    <t>３日目</t>
  </si>
  <si>
    <t>４日目</t>
  </si>
  <si>
    <t>５日目</t>
  </si>
  <si>
    <t>最終日</t>
  </si>
  <si>
    <t>5132 / A1</t>
  </si>
  <si>
    <t>F0</t>
  </si>
  <si>
    <t>中野　　希一</t>
  </si>
  <si>
    <t>L0</t>
  </si>
  <si>
    <t>埼玉/埼玉</t>
  </si>
  <si>
    <t>26歳/52.9kg</t>
  </si>
  <si>
    <t>4144 / A2</t>
  </si>
  <si>
    <t>石塚　　久也</t>
  </si>
  <si>
    <t>44歳/52.0kg</t>
  </si>
  <si>
    <t>4547 / A1</t>
  </si>
  <si>
    <t>中田　　竜太</t>
  </si>
  <si>
    <t>埼玉/福島</t>
  </si>
  <si>
    <t>37歳/51.0kg</t>
  </si>
  <si>
    <t>4573 / A1</t>
  </si>
  <si>
    <t>佐藤　　　翼</t>
  </si>
  <si>
    <t>37歳/52.0kg</t>
  </si>
  <si>
    <t>5191 / A1</t>
  </si>
  <si>
    <t>飛田　　江己</t>
  </si>
  <si>
    <t>埼玉/東京</t>
  </si>
  <si>
    <t>24歳/52.0kg</t>
  </si>
  <si>
    <t>5087 / A2</t>
  </si>
  <si>
    <t>佐藤　　　航</t>
  </si>
  <si>
    <t>26歳/52.0kg</t>
  </si>
  <si>
    <t>今節成績</t>
  </si>
  <si>
    <t>モーター・ボート変更時は赤で表示されます。</t>
  </si>
  <si>
    <t>B1</t>
    <phoneticPr fontId="1"/>
  </si>
  <si>
    <t>■決まりて情報</t>
    <rPh sb="1" eb="2">
      <t>キ</t>
    </rPh>
    <rPh sb="5" eb="7">
      <t>ジョウホウ</t>
    </rPh>
    <phoneticPr fontId="1"/>
  </si>
  <si>
    <t>進入コース</t>
    <rPh sb="0" eb="2">
      <t>シンニュウ</t>
    </rPh>
    <phoneticPr fontId="1"/>
  </si>
  <si>
    <t>期間</t>
  </si>
  <si>
    <t>逃げ</t>
  </si>
  <si>
    <t>差し</t>
  </si>
  <si>
    <t>まくり</t>
  </si>
  <si>
    <t>まくり差し</t>
  </si>
  <si>
    <t>逃し</t>
  </si>
  <si>
    <t>差され</t>
  </si>
  <si>
    <t>捲られ</t>
  </si>
  <si>
    <t>捲られ差</t>
  </si>
  <si>
    <t>1年</t>
  </si>
  <si>
    <t>6ヶ月</t>
  </si>
  <si>
    <t>■展示情報</t>
    <rPh sb="1" eb="3">
      <t>テンジ</t>
    </rPh>
    <rPh sb="3" eb="5">
      <t>ジョウホウ</t>
    </rPh>
    <phoneticPr fontId="1"/>
  </si>
  <si>
    <t>■出走表情報</t>
    <rPh sb="1" eb="4">
      <t>シュッソウヒョウ</t>
    </rPh>
    <rPh sb="4" eb="6">
      <t>ジョウホウ</t>
    </rPh>
    <phoneticPr fontId="1"/>
  </si>
  <si>
    <t>×</t>
    <phoneticPr fontId="1"/>
  </si>
  <si>
    <t>展示進入コース</t>
  </si>
  <si>
    <t>展示タイム場平均差</t>
    <phoneticPr fontId="1"/>
  </si>
  <si>
    <t>展示タイム評価(1〜5)</t>
    <phoneticPr fontId="1"/>
  </si>
  <si>
    <t>ST評価(1〜5)</t>
  </si>
  <si>
    <t>周回評価(1〜5)</t>
  </si>
  <si>
    <t>周り足評価(1〜5)</t>
    <phoneticPr fontId="1"/>
  </si>
  <si>
    <t>直線評価(1〜5)</t>
    <phoneticPr fontId="1"/>
  </si>
  <si>
    <t>展示足トータル</t>
    <phoneticPr fontId="1"/>
  </si>
  <si>
    <t>展示攻めポテンシャル</t>
    <phoneticPr fontId="1"/>
  </si>
  <si>
    <t>展示安定感</t>
  </si>
  <si>
    <t>展示総合スコア</t>
  </si>
  <si>
    <t>展示タイプ補正</t>
    <phoneticPr fontId="1"/>
  </si>
  <si>
    <t>展示タイプ名</t>
    <phoneticPr fontId="1"/>
  </si>
  <si>
    <t>展開キー</t>
    <phoneticPr fontId="1"/>
  </si>
  <si>
    <t>展開もらい補正</t>
    <phoneticPr fontId="1"/>
  </si>
  <si>
    <t>最終二次予想スコア</t>
    <phoneticPr fontId="1"/>
  </si>
  <si>
    <t>展示補正スコア</t>
    <phoneticPr fontId="1"/>
  </si>
  <si>
    <t>差し型</t>
    <phoneticPr fontId="1"/>
  </si>
  <si>
    <t>バランス</t>
    <phoneticPr fontId="1"/>
  </si>
  <si>
    <t>■最終予想</t>
    <rPh sb="1" eb="5">
      <t>サイシュウヨソウ</t>
    </rPh>
    <phoneticPr fontId="1"/>
  </si>
  <si>
    <t>直近6ヶ月3連対率</t>
    <phoneticPr fontId="1"/>
  </si>
  <si>
    <t>直近3ヶ月3連対率</t>
    <phoneticPr fontId="1"/>
  </si>
  <si>
    <t>期待値</t>
    <rPh sb="0" eb="3">
      <t>キタイチ</t>
    </rPh>
    <phoneticPr fontId="1"/>
  </si>
  <si>
    <t>展開フラグ_差し</t>
    <rPh sb="0" eb="2">
      <t>テンカイ</t>
    </rPh>
    <rPh sb="6" eb="7">
      <t>サ</t>
    </rPh>
    <phoneticPr fontId="1"/>
  </si>
  <si>
    <t>展開フラグ_まくり</t>
    <rPh sb="0" eb="2">
      <t>テンカイ</t>
    </rPh>
    <phoneticPr fontId="1"/>
  </si>
  <si>
    <t>展開フラグ_まくり差し</t>
    <rPh sb="0" eb="2">
      <t>テンカイ</t>
    </rPh>
    <rPh sb="9" eb="10">
      <t>サ</t>
    </rPh>
    <phoneticPr fontId="1"/>
  </si>
  <si>
    <t>展開フラグ_逃し</t>
    <rPh sb="0" eb="2">
      <t>テンカイ</t>
    </rPh>
    <rPh sb="6" eb="7">
      <t>ノガ</t>
    </rPh>
    <phoneticPr fontId="1"/>
  </si>
  <si>
    <t>決まり手タイプ</t>
  </si>
  <si>
    <t>決まり手補正（X）</t>
  </si>
  <si>
    <t>三次予想スコア</t>
    <phoneticPr fontId="1"/>
  </si>
  <si>
    <t>切る艇</t>
    <phoneticPr fontId="1"/>
  </si>
  <si>
    <t>枠番</t>
    <phoneticPr fontId="1"/>
  </si>
  <si>
    <t>-</t>
    <phoneticPr fontId="1"/>
  </si>
  <si>
    <t>無色</t>
    <phoneticPr fontId="1"/>
  </si>
  <si>
    <t>本命/対抗</t>
    <rPh sb="0" eb="2">
      <t>ホンメイ</t>
    </rPh>
    <rPh sb="3" eb="5">
      <t>タイコウ</t>
    </rPh>
    <phoneticPr fontId="1"/>
  </si>
  <si>
    <t>頭</t>
    <phoneticPr fontId="1"/>
  </si>
  <si>
    <t>相手候補</t>
  </si>
  <si>
    <t>切る艇</t>
    <rPh sb="0" eb="1">
      <t>キ</t>
    </rPh>
    <rPh sb="2" eb="3">
      <t>テイ</t>
    </rPh>
    <phoneticPr fontId="1"/>
  </si>
  <si>
    <t>相手候補（加工）</t>
    <phoneticPr fontId="1"/>
  </si>
  <si>
    <t>切る艇（加工）</t>
    <phoneticPr fontId="1"/>
  </si>
  <si>
    <t>買い目候補（3連単）</t>
    <phoneticPr fontId="1"/>
  </si>
  <si>
    <t>本命</t>
    <rPh sb="0" eb="2">
      <t>ホンメイ</t>
    </rPh>
    <phoneticPr fontId="1"/>
  </si>
  <si>
    <t>対抗</t>
    <rPh sb="0" eb="2">
      <t>タイコウ</t>
    </rPh>
    <phoneticPr fontId="1"/>
  </si>
  <si>
    <t>伸び型</t>
    <phoneticPr fontId="1"/>
  </si>
  <si>
    <t>ST</t>
    <phoneticPr fontId="1"/>
  </si>
  <si>
    <t>愛知</t>
    <phoneticPr fontId="1"/>
  </si>
  <si>
    <t>超伸び型</t>
    <phoneticPr fontId="1"/>
  </si>
  <si>
    <t>福岡</t>
    <phoneticPr fontId="1"/>
  </si>
  <si>
    <t>△</t>
    <phoneticPr fontId="1"/>
  </si>
  <si>
    <t>■サム理論</t>
    <rPh sb="3" eb="5">
      <t>リロン</t>
    </rPh>
    <phoneticPr fontId="1"/>
  </si>
  <si>
    <t>コース</t>
    <phoneticPr fontId="1"/>
  </si>
  <si>
    <t>区間</t>
    <phoneticPr fontId="1"/>
  </si>
  <si>
    <t>win</t>
    <phoneticPr fontId="1"/>
  </si>
  <si>
    <t>place2</t>
    <phoneticPr fontId="1"/>
  </si>
  <si>
    <t>place3</t>
    <phoneticPr fontId="1"/>
  </si>
  <si>
    <t>trio</t>
    <phoneticPr fontId="1"/>
  </si>
  <si>
    <t>-0.6未満</t>
    <phoneticPr fontId="1"/>
  </si>
  <si>
    <t>-0.6--0.4</t>
    <phoneticPr fontId="1"/>
  </si>
  <si>
    <t>-0.4--0.2</t>
    <phoneticPr fontId="1"/>
  </si>
  <si>
    <t>-0.2-0.0</t>
    <phoneticPr fontId="1"/>
  </si>
  <si>
    <t>0.0-0.2</t>
    <phoneticPr fontId="1"/>
  </si>
  <si>
    <t>0.2-0.4</t>
    <phoneticPr fontId="1"/>
  </si>
  <si>
    <t>0.4-0.6</t>
    <phoneticPr fontId="1"/>
  </si>
  <si>
    <t>0.6以上</t>
    <phoneticPr fontId="1"/>
  </si>
  <si>
    <t>sam理論の内容</t>
    <rPh sb="3" eb="5">
      <t>リロン</t>
    </rPh>
    <rPh sb="6" eb="8">
      <t>ナイヨウ</t>
    </rPh>
    <phoneticPr fontId="1"/>
  </si>
  <si>
    <t>    "KRY": ["exhibition_time", "lap_time", "around_time"],</t>
  </si>
  <si>
    <t>    "TDA": ["exhibition_time", "lap_time", "around_time"],</t>
  </si>
  <si>
    <t>    "EDG": ["exhibition_time", "lap_time", "around_time"],</t>
  </si>
  <si>
    <t>    "HWJ": ["exhibition_time", "lap_time", "around_time"],</t>
  </si>
  <si>
    <t>    "TMG": ["exhibition_time", "lap_time", "straight_time"],</t>
  </si>
  <si>
    <t xml:space="preserve">    "HMN": ["exhibition_time", "lap_time", "straight_time"],   </t>
  </si>
  <si>
    <t xml:space="preserve">    "GMG": ["exhibition_time", "lap_time", "straight_time"],   </t>
  </si>
  <si>
    <t xml:space="preserve">    "TKN": ["exhibition_time", "lap_time", "straight_time"],   </t>
  </si>
  <si>
    <t xml:space="preserve">    "TSU": ["exhibition_time", "lap_time", "around_time"],     </t>
  </si>
  <si>
    <t xml:space="preserve">    "MKN": ["exhibition_time", "lap_time", "straight_time"],   </t>
  </si>
  <si>
    <t xml:space="preserve">    "BWK": ["exhibition_time", "lap_time", "around_time"],     </t>
  </si>
  <si>
    <t xml:space="preserve">    "SME": ["exhibition_time", "lap_time", "around_time"],     </t>
  </si>
  <si>
    <t xml:space="preserve">    "AMG": ["exhibition_time", "lap_time", "straight_time"],   </t>
  </si>
  <si>
    <t xml:space="preserve">    "NRT": ["exhibition_time", "lap_time", "straight_time"],   </t>
  </si>
  <si>
    <t xml:space="preserve">    "MRG": ["exhibition_time", "lap_time", "around_time"],     </t>
  </si>
  <si>
    <t xml:space="preserve">    "KJM": ["exhibition_time", "lap_time", "around_time"],     </t>
  </si>
  <si>
    <t xml:space="preserve">    "MYJ": ["exhibition_time", "lap_time", "around_time"],     </t>
  </si>
  <si>
    <t xml:space="preserve">    "TKY": ["exhibition_time", "lap_time", "straight_time"],   </t>
  </si>
  <si>
    <t xml:space="preserve">    "SMS": ["exhibition_time", "lap_time", "straight_time"],   </t>
  </si>
  <si>
    <t xml:space="preserve">    "WKM": ["exhibition_time", "lap_time", "straight_time"],   </t>
  </si>
  <si>
    <t xml:space="preserve">    "ASY": ["exhibition_time", "lap_time", "straight_time"],   </t>
  </si>
  <si>
    <t xml:space="preserve">    "FKO": ["exhibition_time", "lap_time", "around_time"],     </t>
  </si>
  <si>
    <t xml:space="preserve">    "KRT": ["exhibition_time", "lap_time", "around_time"],     </t>
  </si>
  <si>
    <t xml:space="preserve">    "OMR": ["exhibition_time", "lap_time", "straight_time"]   </t>
  </si>
  <si>
    <t>長崎</t>
    <phoneticPr fontId="1"/>
  </si>
  <si>
    <t xml:space="preserve">   </t>
  </si>
  <si>
    <t xml:space="preserve">     </t>
  </si>
  <si>
    <t>展示タイム</t>
    <phoneticPr fontId="1"/>
  </si>
  <si>
    <t>周回</t>
    <phoneticPr fontId="1"/>
  </si>
  <si>
    <t>周り足</t>
    <phoneticPr fontId="1"/>
  </si>
  <si>
    <t>直線</t>
    <phoneticPr fontId="1"/>
  </si>
  <si>
    <t xml:space="preserve">直線   </t>
  </si>
  <si>
    <t>展示情報</t>
    <rPh sb="0" eb="4">
      <t>テンジジョウホウ</t>
    </rPh>
    <phoneticPr fontId="1"/>
  </si>
  <si>
    <t>合計</t>
    <rPh sb="0" eb="2">
      <t>ゴウケイ</t>
    </rPh>
    <phoneticPr fontId="1"/>
  </si>
  <si>
    <t>1着率</t>
    <rPh sb="1" eb="3">
      <t>チャクリツ</t>
    </rPh>
    <phoneticPr fontId="1"/>
  </si>
  <si>
    <t>2着率</t>
    <rPh sb="1" eb="3">
      <t>チャクリツ</t>
    </rPh>
    <phoneticPr fontId="1"/>
  </si>
  <si>
    <t>3着率</t>
    <rPh sb="1" eb="3">
      <t>チャクリツ</t>
    </rPh>
    <phoneticPr fontId="1"/>
  </si>
  <si>
    <t>3連対率</t>
    <rPh sb="1" eb="3">
      <t>レンタイ</t>
    </rPh>
    <rPh sb="3" eb="4">
      <t>リツ</t>
    </rPh>
    <phoneticPr fontId="1"/>
  </si>
  <si>
    <t>平均差</t>
    <rPh sb="0" eb="2">
      <t>ヘイキン</t>
    </rPh>
    <rPh sb="2" eb="3">
      <t>サ</t>
    </rPh>
    <phoneticPr fontId="1"/>
  </si>
  <si>
    <t>平均</t>
    <rPh sb="0" eb="2">
      <t>ヘイキン</t>
    </rPh>
    <phoneticPr fontId="1"/>
  </si>
  <si>
    <t>★外ブロック</t>
    <phoneticPr fontId="1"/>
  </si>
  <si>
    <t>攻め型</t>
    <phoneticPr fontId="1"/>
  </si>
  <si>
    <t>兵庫</t>
    <phoneticPr fontId="1"/>
  </si>
  <si>
    <t>○</t>
    <phoneticPr fontId="1"/>
  </si>
  <si>
    <t>A1</t>
    <phoneticPr fontId="1"/>
  </si>
  <si>
    <t>F.02</t>
  </si>
  <si>
    <t>佐々木英</t>
    <phoneticPr fontId="1"/>
  </si>
  <si>
    <t>広島</t>
    <phoneticPr fontId="1"/>
  </si>
  <si>
    <t>笠　雅雄</t>
    <phoneticPr fontId="1"/>
  </si>
  <si>
    <t>加藤翔馬</t>
    <phoneticPr fontId="1"/>
  </si>
  <si>
    <t>生方靖亜</t>
    <phoneticPr fontId="1"/>
  </si>
  <si>
    <t>群馬</t>
    <phoneticPr fontId="1"/>
  </si>
  <si>
    <t>中野夢斗</t>
    <phoneticPr fontId="1"/>
  </si>
  <si>
    <t>飯山晃三</t>
    <phoneticPr fontId="1"/>
  </si>
  <si>
    <t>fz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</si>
</sst>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mmdd"/>
    <numFmt numFmtId="177" formatCode="0.0%"/>
  </numFmts>
  <fonts count="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Yu Gothic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theme="0"/>
      <name val="ＭＳ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>
      <alignment vertical="center"/>
    </xf>
  </cellStyleXfs>
  <cellXfs count="157">
    <xf numFmtId="0" fontId="0" fillId="0" borderId="0" xfId="0"/>
    <xf numFmtId="0" fontId="2" fillId="0" borderId="0" xfId="0" applyFont="1"/>
    <xf numFmtId="0" fontId="2" fillId="0" borderId="0" xfId="0" quotePrefix="1" applyFont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14" fontId="2" fillId="0" borderId="2" xfId="0" applyNumberFormat="1" applyFont="1" applyBorder="1"/>
    <xf numFmtId="176" fontId="2" fillId="0" borderId="0" xfId="0" applyNumberFormat="1" applyFont="1"/>
    <xf numFmtId="0" fontId="2" fillId="0" borderId="1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0" fontId="2" fillId="0" borderId="12" xfId="0" applyFont="1" applyBorder="1"/>
    <xf numFmtId="0" fontId="2" fillId="0" borderId="13" xfId="0" applyFont="1" applyBorder="1"/>
    <xf numFmtId="0" fontId="2" fillId="0" borderId="9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15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2" fillId="0" borderId="14" xfId="0" applyFont="1" applyBorder="1"/>
    <xf numFmtId="0" fontId="2" fillId="0" borderId="15" xfId="0" applyFont="1" applyBorder="1"/>
    <xf numFmtId="0" fontId="2" fillId="0" borderId="16" xfId="0" applyFont="1" applyBorder="1"/>
    <xf numFmtId="0" fontId="2" fillId="0" borderId="5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2" fillId="0" borderId="17" xfId="0" applyFont="1" applyBorder="1" applyAlignment="1">
      <alignment wrapText="1"/>
    </xf>
    <xf numFmtId="0" fontId="2" fillId="0" borderId="9" xfId="0" applyFont="1" applyBorder="1" applyAlignment="1">
      <alignment wrapText="1"/>
    </xf>
    <xf numFmtId="0" fontId="2" fillId="0" borderId="10" xfId="0" applyFont="1" applyBorder="1" applyAlignment="1">
      <alignment wrapText="1"/>
    </xf>
    <xf numFmtId="0" fontId="2" fillId="0" borderId="0" xfId="0" applyFont="1" applyAlignment="1">
      <alignment wrapText="1"/>
    </xf>
    <xf numFmtId="0" fontId="2" fillId="0" borderId="18" xfId="0" applyFont="1" applyBorder="1"/>
    <xf numFmtId="0" fontId="2" fillId="0" borderId="19" xfId="0" applyFont="1" applyBorder="1"/>
    <xf numFmtId="0" fontId="2" fillId="0" borderId="0" xfId="0" applyFont="1" applyAlignment="1">
      <alignment vertical="center"/>
    </xf>
    <xf numFmtId="0" fontId="2" fillId="0" borderId="20" xfId="0" applyFont="1" applyBorder="1"/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0" fontId="2" fillId="0" borderId="30" xfId="0" applyFont="1" applyBorder="1"/>
    <xf numFmtId="0" fontId="2" fillId="0" borderId="31" xfId="0" applyFont="1" applyBorder="1"/>
    <xf numFmtId="0" fontId="2" fillId="0" borderId="32" xfId="0" applyFont="1" applyBorder="1"/>
    <xf numFmtId="0" fontId="2" fillId="0" borderId="33" xfId="0" applyFont="1" applyBorder="1"/>
    <xf numFmtId="0" fontId="2" fillId="0" borderId="34" xfId="0" applyFont="1" applyBorder="1"/>
    <xf numFmtId="0" fontId="2" fillId="0" borderId="35" xfId="0" applyFont="1" applyBorder="1"/>
    <xf numFmtId="0" fontId="2" fillId="0" borderId="36" xfId="0" applyFont="1" applyBorder="1"/>
    <xf numFmtId="0" fontId="2" fillId="0" borderId="37" xfId="0" applyFont="1" applyBorder="1" applyAlignment="1">
      <alignment wrapText="1"/>
    </xf>
    <xf numFmtId="0" fontId="2" fillId="0" borderId="38" xfId="0" applyFont="1" applyBorder="1" applyAlignment="1">
      <alignment wrapText="1"/>
    </xf>
    <xf numFmtId="0" fontId="2" fillId="0" borderId="39" xfId="0" applyFont="1" applyBorder="1" applyAlignment="1">
      <alignment wrapText="1"/>
    </xf>
    <xf numFmtId="0" fontId="2" fillId="0" borderId="40" xfId="0" applyFont="1" applyBorder="1"/>
    <xf numFmtId="0" fontId="2" fillId="0" borderId="41" xfId="0" applyFont="1" applyBorder="1"/>
    <xf numFmtId="0" fontId="2" fillId="0" borderId="37" xfId="0" applyFont="1" applyBorder="1"/>
    <xf numFmtId="0" fontId="2" fillId="0" borderId="38" xfId="0" applyFont="1" applyBorder="1"/>
    <xf numFmtId="0" fontId="2" fillId="0" borderId="42" xfId="0" applyFont="1" applyBorder="1"/>
    <xf numFmtId="0" fontId="2" fillId="0" borderId="44" xfId="0" applyFont="1" applyBorder="1"/>
    <xf numFmtId="0" fontId="2" fillId="0" borderId="45" xfId="0" applyFont="1" applyBorder="1"/>
    <xf numFmtId="0" fontId="2" fillId="2" borderId="47" xfId="0" applyFont="1" applyFill="1" applyBorder="1"/>
    <xf numFmtId="0" fontId="2" fillId="2" borderId="48" xfId="0" applyFont="1" applyFill="1" applyBorder="1"/>
    <xf numFmtId="0" fontId="2" fillId="2" borderId="44" xfId="0" applyFont="1" applyFill="1" applyBorder="1"/>
    <xf numFmtId="0" fontId="2" fillId="2" borderId="45" xfId="0" applyFont="1" applyFill="1" applyBorder="1"/>
    <xf numFmtId="0" fontId="2" fillId="3" borderId="47" xfId="0" applyFont="1" applyFill="1" applyBorder="1"/>
    <xf numFmtId="0" fontId="2" fillId="3" borderId="48" xfId="0" applyFont="1" applyFill="1" applyBorder="1"/>
    <xf numFmtId="0" fontId="2" fillId="3" borderId="44" xfId="0" applyFont="1" applyFill="1" applyBorder="1"/>
    <xf numFmtId="0" fontId="2" fillId="3" borderId="45" xfId="0" applyFont="1" applyFill="1" applyBorder="1"/>
    <xf numFmtId="0" fontId="2" fillId="4" borderId="47" xfId="0" applyFont="1" applyFill="1" applyBorder="1"/>
    <xf numFmtId="0" fontId="2" fillId="4" borderId="48" xfId="0" applyFont="1" applyFill="1" applyBorder="1"/>
    <xf numFmtId="0" fontId="2" fillId="4" borderId="44" xfId="0" applyFont="1" applyFill="1" applyBorder="1"/>
    <xf numFmtId="0" fontId="2" fillId="4" borderId="45" xfId="0" applyFont="1" applyFill="1" applyBorder="1"/>
    <xf numFmtId="0" fontId="2" fillId="5" borderId="47" xfId="0" applyFont="1" applyFill="1" applyBorder="1"/>
    <xf numFmtId="0" fontId="2" fillId="5" borderId="48" xfId="0" applyFont="1" applyFill="1" applyBorder="1"/>
    <xf numFmtId="0" fontId="2" fillId="5" borderId="44" xfId="0" applyFont="1" applyFill="1" applyBorder="1"/>
    <xf numFmtId="0" fontId="2" fillId="5" borderId="45" xfId="0" applyFont="1" applyFill="1" applyBorder="1"/>
    <xf numFmtId="0" fontId="2" fillId="6" borderId="47" xfId="0" applyFont="1" applyFill="1" applyBorder="1"/>
    <xf numFmtId="0" fontId="2" fillId="6" borderId="48" xfId="0" applyFont="1" applyFill="1" applyBorder="1"/>
    <xf numFmtId="0" fontId="2" fillId="6" borderId="34" xfId="0" applyFont="1" applyFill="1" applyBorder="1"/>
    <xf numFmtId="0" fontId="2" fillId="6" borderId="35" xfId="0" applyFont="1" applyFill="1" applyBorder="1"/>
    <xf numFmtId="177" fontId="2" fillId="0" borderId="29" xfId="1" applyNumberFormat="1" applyFont="1" applyBorder="1" applyAlignment="1"/>
    <xf numFmtId="177" fontId="2" fillId="0" borderId="43" xfId="1" applyNumberFormat="1" applyFont="1" applyBorder="1" applyAlignment="1"/>
    <xf numFmtId="177" fontId="2" fillId="0" borderId="45" xfId="1" applyNumberFormat="1" applyFont="1" applyBorder="1" applyAlignment="1"/>
    <xf numFmtId="177" fontId="2" fillId="0" borderId="46" xfId="1" applyNumberFormat="1" applyFont="1" applyBorder="1" applyAlignment="1"/>
    <xf numFmtId="177" fontId="2" fillId="2" borderId="48" xfId="1" applyNumberFormat="1" applyFont="1" applyFill="1" applyBorder="1" applyAlignment="1"/>
    <xf numFmtId="177" fontId="2" fillId="2" borderId="49" xfId="1" applyNumberFormat="1" applyFont="1" applyFill="1" applyBorder="1" applyAlignment="1"/>
    <xf numFmtId="177" fontId="2" fillId="2" borderId="45" xfId="1" applyNumberFormat="1" applyFont="1" applyFill="1" applyBorder="1" applyAlignment="1"/>
    <xf numFmtId="177" fontId="2" fillId="2" borderId="46" xfId="1" applyNumberFormat="1" applyFont="1" applyFill="1" applyBorder="1" applyAlignment="1"/>
    <xf numFmtId="177" fontId="2" fillId="3" borderId="48" xfId="1" applyNumberFormat="1" applyFont="1" applyFill="1" applyBorder="1" applyAlignment="1"/>
    <xf numFmtId="177" fontId="2" fillId="3" borderId="49" xfId="1" applyNumberFormat="1" applyFont="1" applyFill="1" applyBorder="1" applyAlignment="1"/>
    <xf numFmtId="177" fontId="2" fillId="3" borderId="45" xfId="1" applyNumberFormat="1" applyFont="1" applyFill="1" applyBorder="1" applyAlignment="1"/>
    <xf numFmtId="177" fontId="2" fillId="3" borderId="46" xfId="1" applyNumberFormat="1" applyFont="1" applyFill="1" applyBorder="1" applyAlignment="1"/>
    <xf numFmtId="177" fontId="2" fillId="4" borderId="48" xfId="1" applyNumberFormat="1" applyFont="1" applyFill="1" applyBorder="1" applyAlignment="1"/>
    <xf numFmtId="177" fontId="2" fillId="4" borderId="49" xfId="1" applyNumberFormat="1" applyFont="1" applyFill="1" applyBorder="1" applyAlignment="1"/>
    <xf numFmtId="177" fontId="2" fillId="4" borderId="45" xfId="1" applyNumberFormat="1" applyFont="1" applyFill="1" applyBorder="1" applyAlignment="1"/>
    <xf numFmtId="177" fontId="2" fillId="4" borderId="46" xfId="1" applyNumberFormat="1" applyFont="1" applyFill="1" applyBorder="1" applyAlignment="1"/>
    <xf numFmtId="177" fontId="2" fillId="5" borderId="48" xfId="1" applyNumberFormat="1" applyFont="1" applyFill="1" applyBorder="1" applyAlignment="1"/>
    <xf numFmtId="177" fontId="2" fillId="5" borderId="49" xfId="1" applyNumberFormat="1" applyFont="1" applyFill="1" applyBorder="1" applyAlignment="1"/>
    <xf numFmtId="177" fontId="2" fillId="5" borderId="45" xfId="1" applyNumberFormat="1" applyFont="1" applyFill="1" applyBorder="1" applyAlignment="1"/>
    <xf numFmtId="177" fontId="2" fillId="5" borderId="46" xfId="1" applyNumberFormat="1" applyFont="1" applyFill="1" applyBorder="1" applyAlignment="1"/>
    <xf numFmtId="177" fontId="2" fillId="6" borderId="48" xfId="1" applyNumberFormat="1" applyFont="1" applyFill="1" applyBorder="1" applyAlignment="1"/>
    <xf numFmtId="177" fontId="2" fillId="6" borderId="49" xfId="1" applyNumberFormat="1" applyFont="1" applyFill="1" applyBorder="1" applyAlignment="1"/>
    <xf numFmtId="177" fontId="2" fillId="6" borderId="35" xfId="1" applyNumberFormat="1" applyFont="1" applyFill="1" applyBorder="1" applyAlignment="1"/>
    <xf numFmtId="177" fontId="2" fillId="6" borderId="50" xfId="1" applyNumberFormat="1" applyFont="1" applyFill="1" applyBorder="1" applyAlignment="1"/>
    <xf numFmtId="0" fontId="2" fillId="0" borderId="51" xfId="0" applyFont="1" applyBorder="1"/>
    <xf numFmtId="0" fontId="2" fillId="0" borderId="52" xfId="0" applyFont="1" applyBorder="1"/>
    <xf numFmtId="0" fontId="2" fillId="0" borderId="53" xfId="0" applyFont="1" applyBorder="1"/>
    <xf numFmtId="177" fontId="2" fillId="0" borderId="0" xfId="0" applyNumberFormat="1" applyFont="1"/>
    <xf numFmtId="177" fontId="2" fillId="0" borderId="8" xfId="1" applyNumberFormat="1" applyFont="1" applyBorder="1" applyAlignment="1"/>
    <xf numFmtId="177" fontId="2" fillId="0" borderId="12" xfId="1" applyNumberFormat="1" applyFont="1" applyBorder="1" applyAlignment="1"/>
    <xf numFmtId="177" fontId="2" fillId="0" borderId="52" xfId="1" applyNumberFormat="1" applyFont="1" applyBorder="1" applyAlignment="1"/>
    <xf numFmtId="9" fontId="2" fillId="0" borderId="38" xfId="1" applyFont="1" applyBorder="1" applyAlignment="1">
      <alignment wrapText="1"/>
    </xf>
    <xf numFmtId="9" fontId="2" fillId="0" borderId="8" xfId="1" applyFont="1" applyBorder="1" applyAlignment="1"/>
    <xf numFmtId="177" fontId="2" fillId="0" borderId="8" xfId="0" applyNumberFormat="1" applyFont="1" applyBorder="1"/>
    <xf numFmtId="0" fontId="2" fillId="2" borderId="8" xfId="0" applyFont="1" applyFill="1" applyBorder="1"/>
    <xf numFmtId="9" fontId="2" fillId="2" borderId="8" xfId="1" applyFont="1" applyFill="1" applyBorder="1" applyAlignment="1"/>
    <xf numFmtId="0" fontId="2" fillId="3" borderId="8" xfId="0" applyFont="1" applyFill="1" applyBorder="1"/>
    <xf numFmtId="9" fontId="2" fillId="3" borderId="8" xfId="1" applyFont="1" applyFill="1" applyBorder="1" applyAlignment="1"/>
    <xf numFmtId="0" fontId="2" fillId="5" borderId="8" xfId="0" applyFont="1" applyFill="1" applyBorder="1"/>
    <xf numFmtId="9" fontId="2" fillId="5" borderId="8" xfId="1" applyFont="1" applyFill="1" applyBorder="1" applyAlignment="1"/>
    <xf numFmtId="0" fontId="2" fillId="6" borderId="8" xfId="0" applyFont="1" applyFill="1" applyBorder="1"/>
    <xf numFmtId="9" fontId="2" fillId="6" borderId="8" xfId="1" applyFont="1" applyFill="1" applyBorder="1" applyAlignment="1"/>
    <xf numFmtId="0" fontId="2" fillId="4" borderId="8" xfId="0" applyFont="1" applyFill="1" applyBorder="1"/>
    <xf numFmtId="9" fontId="2" fillId="4" borderId="8" xfId="1" applyFont="1" applyFill="1" applyBorder="1" applyAlignment="1"/>
    <xf numFmtId="9" fontId="2" fillId="0" borderId="11" xfId="1" applyFont="1" applyBorder="1" applyAlignment="1"/>
    <xf numFmtId="0" fontId="2" fillId="2" borderId="18" xfId="0" applyFont="1" applyFill="1" applyBorder="1"/>
    <xf numFmtId="9" fontId="2" fillId="2" borderId="11" xfId="1" applyFont="1" applyFill="1" applyBorder="1" applyAlignment="1"/>
    <xf numFmtId="0" fontId="2" fillId="3" borderId="18" xfId="0" applyFont="1" applyFill="1" applyBorder="1"/>
    <xf numFmtId="9" fontId="2" fillId="3" borderId="11" xfId="1" applyFont="1" applyFill="1" applyBorder="1" applyAlignment="1"/>
    <xf numFmtId="0" fontId="2" fillId="4" borderId="18" xfId="0" applyFont="1" applyFill="1" applyBorder="1"/>
    <xf numFmtId="9" fontId="2" fillId="4" borderId="11" xfId="1" applyFont="1" applyFill="1" applyBorder="1" applyAlignment="1"/>
    <xf numFmtId="0" fontId="2" fillId="5" borderId="18" xfId="0" applyFont="1" applyFill="1" applyBorder="1"/>
    <xf numFmtId="9" fontId="2" fillId="5" borderId="11" xfId="1" applyFont="1" applyFill="1" applyBorder="1" applyAlignment="1"/>
    <xf numFmtId="0" fontId="2" fillId="6" borderId="18" xfId="0" applyFont="1" applyFill="1" applyBorder="1"/>
    <xf numFmtId="9" fontId="2" fillId="6" borderId="11" xfId="1" applyFont="1" applyFill="1" applyBorder="1" applyAlignment="1"/>
    <xf numFmtId="0" fontId="2" fillId="6" borderId="19" xfId="0" applyFont="1" applyFill="1" applyBorder="1"/>
    <xf numFmtId="0" fontId="2" fillId="6" borderId="12" xfId="0" applyFont="1" applyFill="1" applyBorder="1"/>
    <xf numFmtId="9" fontId="2" fillId="6" borderId="12" xfId="1" applyFont="1" applyFill="1" applyBorder="1" applyAlignment="1"/>
    <xf numFmtId="9" fontId="2" fillId="6" borderId="13" xfId="1" applyFont="1" applyFill="1" applyBorder="1" applyAlignment="1"/>
    <xf numFmtId="9" fontId="2" fillId="0" borderId="52" xfId="1" applyFont="1" applyBorder="1" applyAlignment="1"/>
    <xf numFmtId="9" fontId="2" fillId="0" borderId="53" xfId="1" applyFont="1" applyBorder="1" applyAlignment="1"/>
    <xf numFmtId="0" fontId="2" fillId="7" borderId="54" xfId="0" applyFont="1" applyFill="1" applyBorder="1"/>
    <xf numFmtId="0" fontId="2" fillId="8" borderId="23" xfId="0" applyFont="1" applyFill="1" applyBorder="1"/>
    <xf numFmtId="0" fontId="2" fillId="8" borderId="0" xfId="0" applyFont="1" applyFill="1"/>
    <xf numFmtId="9" fontId="2" fillId="8" borderId="0" xfId="1" applyFont="1" applyFill="1" applyBorder="1" applyAlignment="1"/>
    <xf numFmtId="9" fontId="2" fillId="8" borderId="24" xfId="1" applyFont="1" applyFill="1" applyBorder="1" applyAlignment="1"/>
    <xf numFmtId="0" fontId="2" fillId="0" borderId="55" xfId="0" applyFont="1" applyBorder="1"/>
    <xf numFmtId="0" fontId="2" fillId="0" borderId="56" xfId="0" applyFont="1" applyBorder="1"/>
    <xf numFmtId="0" fontId="2" fillId="7" borderId="17" xfId="0" applyFont="1" applyFill="1" applyBorder="1"/>
    <xf numFmtId="0" fontId="2" fillId="7" borderId="9" xfId="0" applyFont="1" applyFill="1" applyBorder="1"/>
    <xf numFmtId="0" fontId="2" fillId="7" borderId="10" xfId="0" applyFont="1" applyFill="1" applyBorder="1"/>
    <xf numFmtId="0" fontId="5" fillId="0" borderId="0" xfId="0" applyFont="1"/>
    <xf numFmtId="0" fontId="5" fillId="0" borderId="0" xfId="0" quotePrefix="1" applyFont="1"/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8</xdr:col>
      <xdr:colOff>104775</xdr:colOff>
      <xdr:row>4</xdr:row>
      <xdr:rowOff>142875</xdr:rowOff>
    </xdr:to>
    <xdr:sp macro="[0]!LoadInputData" textlink="">
      <xdr:nvSpPr>
        <xdr:cNvPr id="2" name="正方形/長方形 1">
          <a:extLst>
            <a:ext uri="{FF2B5EF4-FFF2-40B4-BE49-F238E27FC236}">
              <a16:creationId xmlns:a16="http://schemas.microsoft.com/office/drawing/2014/main" id="{04520B6F-49C0-4478-BEE8-8BD62FDB8468}"/>
            </a:ext>
          </a:extLst>
        </xdr:cNvPr>
        <xdr:cNvSpPr/>
      </xdr:nvSpPr>
      <xdr:spPr>
        <a:xfrm>
          <a:off x="4562475" y="352425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出走表取込</a:t>
          </a:r>
        </a:p>
      </xdr:txBody>
    </xdr:sp>
    <xdr:clientData/>
  </xdr:twoCellAnchor>
  <xdr:twoCellAnchor>
    <xdr:from>
      <xdr:col>6</xdr:col>
      <xdr:colOff>0</xdr:colOff>
      <xdr:row>14</xdr:row>
      <xdr:rowOff>95250</xdr:rowOff>
    </xdr:from>
    <xdr:to>
      <xdr:col>8</xdr:col>
      <xdr:colOff>104775</xdr:colOff>
      <xdr:row>17</xdr:row>
      <xdr:rowOff>57150</xdr:rowOff>
    </xdr:to>
    <xdr:sp macro="[0]!LoadKimarite" textlink="">
      <xdr:nvSpPr>
        <xdr:cNvPr id="3" name="正方形/長方形 2">
          <a:extLst>
            <a:ext uri="{FF2B5EF4-FFF2-40B4-BE49-F238E27FC236}">
              <a16:creationId xmlns:a16="http://schemas.microsoft.com/office/drawing/2014/main" id="{DE343767-BFC5-0632-9FAA-6AE19A0D3457}"/>
            </a:ext>
          </a:extLst>
        </xdr:cNvPr>
        <xdr:cNvSpPr/>
      </xdr:nvSpPr>
      <xdr:spPr>
        <a:xfrm>
          <a:off x="4562475" y="2733675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決まりて表示</a:t>
          </a:r>
        </a:p>
      </xdr:txBody>
    </xdr:sp>
    <xdr:clientData/>
  </xdr:twoCellAnchor>
  <xdr:twoCellAnchor>
    <xdr:from>
      <xdr:col>2</xdr:col>
      <xdr:colOff>123825</xdr:colOff>
      <xdr:row>32</xdr:row>
      <xdr:rowOff>47625</xdr:rowOff>
    </xdr:from>
    <xdr:to>
      <xdr:col>3</xdr:col>
      <xdr:colOff>800100</xdr:colOff>
      <xdr:row>35</xdr:row>
      <xdr:rowOff>28575</xdr:rowOff>
    </xdr:to>
    <xdr:sp macro="[0]!LoadTenji" textlink="">
      <xdr:nvSpPr>
        <xdr:cNvPr id="4" name="正方形/長方形 3">
          <a:extLst>
            <a:ext uri="{FF2B5EF4-FFF2-40B4-BE49-F238E27FC236}">
              <a16:creationId xmlns:a16="http://schemas.microsoft.com/office/drawing/2014/main" id="{A46A9767-4A6A-D778-9F10-28770267B01C}"/>
            </a:ext>
          </a:extLst>
        </xdr:cNvPr>
        <xdr:cNvSpPr/>
      </xdr:nvSpPr>
      <xdr:spPr>
        <a:xfrm>
          <a:off x="1371600" y="5829300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展示表示</a:t>
          </a:r>
        </a:p>
      </xdr:txBody>
    </xdr:sp>
    <xdr:clientData/>
  </xdr:twoCellAnchor>
  <xdr:twoCellAnchor>
    <xdr:from>
      <xdr:col>2</xdr:col>
      <xdr:colOff>123825</xdr:colOff>
      <xdr:row>44</xdr:row>
      <xdr:rowOff>66675</xdr:rowOff>
    </xdr:from>
    <xdr:to>
      <xdr:col>3</xdr:col>
      <xdr:colOff>800100</xdr:colOff>
      <xdr:row>47</xdr:row>
      <xdr:rowOff>47625</xdr:rowOff>
    </xdr:to>
    <xdr:sp macro="[0]!TestSendTenjiToAPI" textlink="">
      <xdr:nvSpPr>
        <xdr:cNvPr id="5" name="正方形/長方形 4">
          <a:extLst>
            <a:ext uri="{FF2B5EF4-FFF2-40B4-BE49-F238E27FC236}">
              <a16:creationId xmlns:a16="http://schemas.microsoft.com/office/drawing/2014/main" id="{298B9939-805D-A9F4-101D-C0E4A2C7D03E}"/>
            </a:ext>
          </a:extLst>
        </xdr:cNvPr>
        <xdr:cNvSpPr/>
      </xdr:nvSpPr>
      <xdr:spPr>
        <a:xfrm>
          <a:off x="1371600" y="8286750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最終表示</a:t>
          </a:r>
        </a:p>
      </xdr:txBody>
    </xdr:sp>
    <xdr:clientData/>
  </xdr:twoCellAnchor>
  <xdr:twoCellAnchor>
    <xdr:from>
      <xdr:col>1</xdr:col>
      <xdr:colOff>866775</xdr:colOff>
      <xdr:row>61</xdr:row>
      <xdr:rowOff>0</xdr:rowOff>
    </xdr:from>
    <xdr:to>
      <xdr:col>3</xdr:col>
      <xdr:colOff>657225</xdr:colOff>
      <xdr:row>62</xdr:row>
      <xdr:rowOff>57150</xdr:rowOff>
    </xdr:to>
    <xdr:sp macro="[0]!LoadSamAll" textlink="">
      <xdr:nvSpPr>
        <xdr:cNvPr id="6" name="正方形/長方形 5">
          <a:extLst>
            <a:ext uri="{FF2B5EF4-FFF2-40B4-BE49-F238E27FC236}">
              <a16:creationId xmlns:a16="http://schemas.microsoft.com/office/drawing/2014/main" id="{331981AF-8505-D415-B9F3-191FE8C62BB2}"/>
            </a:ext>
          </a:extLst>
        </xdr:cNvPr>
        <xdr:cNvSpPr/>
      </xdr:nvSpPr>
      <xdr:spPr>
        <a:xfrm>
          <a:off x="1228725" y="11706225"/>
          <a:ext cx="1476375" cy="2286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ＭＳ ゴシック" panose="020B0609070205080204" pitchFamily="49" charset="-128"/>
              <a:ea typeface="ＭＳ ゴシック" panose="020B0609070205080204" pitchFamily="49" charset="-128"/>
            </a:rPr>
            <a:t>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16</xdr:row>
      <xdr:rowOff>19050</xdr:rowOff>
    </xdr:from>
    <xdr:to>
      <xdr:col>2</xdr:col>
      <xdr:colOff>190500</xdr:colOff>
      <xdr:row>18</xdr:row>
      <xdr:rowOff>47625</xdr:rowOff>
    </xdr:to>
    <xdr:sp macro="[0]!SendExhibitionJsonFromCells" textlink="">
      <xdr:nvSpPr>
        <xdr:cNvPr id="2" name="正方形/長方形 1">
          <a:extLst>
            <a:ext uri="{FF2B5EF4-FFF2-40B4-BE49-F238E27FC236}">
              <a16:creationId xmlns:a16="http://schemas.microsoft.com/office/drawing/2014/main" id="{9EC08A58-8D9D-F426-3106-C72E51F75343}"/>
            </a:ext>
          </a:extLst>
        </xdr:cNvPr>
        <xdr:cNvSpPr/>
      </xdr:nvSpPr>
      <xdr:spPr>
        <a:xfrm>
          <a:off x="438150" y="2809875"/>
          <a:ext cx="1247775" cy="37147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DB</a:t>
          </a:r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登録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kumimoji="1" sz="16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B0AFB-D542-44A2-BF62-7999BFEA6592}">
  <sheetPr codeName="Sheet3"/>
  <dimension ref="A1:Y144"/>
  <sheetViews>
    <sheetView workbookViewId="0">
      <selection activeCell="L2" sqref="L2"/>
    </sheetView>
  </sheetViews>
  <sheetFormatPr defaultRowHeight="13.5"/>
  <cols>
    <col min="1" max="1" width="9" style="1"/>
    <col min="2" max="2" width="13.25" style="1" customWidth="1"/>
    <col min="3" max="7" width="9" style="1"/>
    <col min="8" max="8" width="22.75" style="1" bestFit="1" customWidth="1"/>
    <col min="9" max="9" width="10.5" style="1" bestFit="1" customWidth="1"/>
    <col min="10" max="16384" width="9" style="1"/>
  </cols>
  <sheetData>
    <row r="1" spans="1:20" s="33" customFormat="1" ht="27">
      <c r="A1" s="30" t="s">
        <v>83</v>
      </c>
      <c r="B1" s="31" t="s">
        <v>84</v>
      </c>
      <c r="C1" s="31" t="s">
        <v>85</v>
      </c>
      <c r="D1" s="31" t="s">
        <v>86</v>
      </c>
      <c r="E1" s="31" t="s">
        <v>87</v>
      </c>
      <c r="F1" s="31" t="s">
        <v>88</v>
      </c>
      <c r="G1" s="31" t="s">
        <v>78</v>
      </c>
      <c r="H1" s="31" t="s">
        <v>89</v>
      </c>
      <c r="I1" s="31" t="s">
        <v>90</v>
      </c>
      <c r="J1" s="31" t="s">
        <v>91</v>
      </c>
      <c r="K1" s="31" t="s">
        <v>92</v>
      </c>
      <c r="L1" s="31" t="s">
        <v>93</v>
      </c>
      <c r="M1" s="31" t="s">
        <v>94</v>
      </c>
      <c r="N1" s="31" t="s">
        <v>95</v>
      </c>
      <c r="O1" s="31" t="s">
        <v>96</v>
      </c>
      <c r="P1" s="31" t="s">
        <v>97</v>
      </c>
      <c r="Q1" s="31" t="s">
        <v>98</v>
      </c>
      <c r="R1" s="31" t="s">
        <v>99</v>
      </c>
      <c r="S1" s="31" t="s">
        <v>100</v>
      </c>
      <c r="T1" s="32" t="s">
        <v>101</v>
      </c>
    </row>
    <row r="2" spans="1:20">
      <c r="A2" s="34">
        <v>1</v>
      </c>
      <c r="B2" s="11" t="s">
        <v>102</v>
      </c>
      <c r="C2" s="11">
        <v>6.93</v>
      </c>
      <c r="D2" s="11">
        <v>6.63</v>
      </c>
      <c r="E2" s="11">
        <v>34.58</v>
      </c>
      <c r="F2" s="11">
        <v>43.18</v>
      </c>
      <c r="G2" s="11">
        <v>0.13</v>
      </c>
      <c r="H2" s="11" t="s">
        <v>103</v>
      </c>
      <c r="I2" s="11" t="s">
        <v>104</v>
      </c>
      <c r="J2" s="11">
        <v>8.3159999999999989</v>
      </c>
      <c r="K2" s="11">
        <v>5</v>
      </c>
      <c r="L2" s="11">
        <v>2.3949999999999996</v>
      </c>
      <c r="M2" s="11">
        <v>4.5449999999999999</v>
      </c>
      <c r="N2" s="11">
        <v>4.0999999999999996</v>
      </c>
      <c r="O2" s="11">
        <v>13.315999999999999</v>
      </c>
      <c r="P2" s="11">
        <v>6.9399999999999995</v>
      </c>
      <c r="Q2" s="11">
        <v>4.0999999999999996</v>
      </c>
      <c r="R2" s="11" t="e">
        <v>#REF!</v>
      </c>
      <c r="S2" s="11" t="e">
        <v>#REF!</v>
      </c>
      <c r="T2" s="14" t="e">
        <v>#REF!</v>
      </c>
    </row>
    <row r="3" spans="1:20">
      <c r="A3" s="34">
        <v>2</v>
      </c>
      <c r="B3" s="11" t="s">
        <v>105</v>
      </c>
      <c r="C3" s="11">
        <v>5.78</v>
      </c>
      <c r="D3" s="11">
        <v>6.79</v>
      </c>
      <c r="E3" s="11">
        <v>32.43</v>
      </c>
      <c r="F3" s="11">
        <v>36.049999999999997</v>
      </c>
      <c r="G3" s="11">
        <v>0.19</v>
      </c>
      <c r="H3" s="11" t="s">
        <v>106</v>
      </c>
      <c r="I3" s="11" t="s">
        <v>104</v>
      </c>
      <c r="J3" s="11">
        <v>6.9359999999999999</v>
      </c>
      <c r="K3" s="11">
        <v>5</v>
      </c>
      <c r="L3" s="11">
        <v>1.8574999999999999</v>
      </c>
      <c r="M3" s="11">
        <v>2.7624999999999993</v>
      </c>
      <c r="N3" s="11">
        <v>2.2999999999999998</v>
      </c>
      <c r="O3" s="11">
        <v>11.936</v>
      </c>
      <c r="P3" s="11">
        <v>4.6199999999999992</v>
      </c>
      <c r="Q3" s="11">
        <v>2.2999999999999998</v>
      </c>
      <c r="R3" s="11" t="e">
        <v>#REF!</v>
      </c>
      <c r="S3" s="11" t="e">
        <v>#REF!</v>
      </c>
      <c r="T3" s="14" t="e">
        <v>#REF!</v>
      </c>
    </row>
    <row r="4" spans="1:20">
      <c r="A4" s="34">
        <v>3</v>
      </c>
      <c r="B4" s="11" t="s">
        <v>107</v>
      </c>
      <c r="C4" s="11">
        <v>6.21</v>
      </c>
      <c r="D4" s="11">
        <v>7.01</v>
      </c>
      <c r="E4" s="11">
        <v>32.93</v>
      </c>
      <c r="F4" s="11">
        <v>40.22</v>
      </c>
      <c r="G4" s="11">
        <v>0.15</v>
      </c>
      <c r="H4" s="11" t="s">
        <v>103</v>
      </c>
      <c r="I4" s="11" t="s">
        <v>104</v>
      </c>
      <c r="J4" s="11">
        <v>7.452</v>
      </c>
      <c r="K4" s="11">
        <v>5</v>
      </c>
      <c r="L4" s="11">
        <v>1.9824999999999999</v>
      </c>
      <c r="M4" s="11">
        <v>3.8049999999999997</v>
      </c>
      <c r="N4" s="11">
        <v>3.5</v>
      </c>
      <c r="O4" s="11">
        <v>12.452</v>
      </c>
      <c r="P4" s="11">
        <v>5.7874999999999996</v>
      </c>
      <c r="Q4" s="11">
        <v>3.5</v>
      </c>
      <c r="R4" s="11" t="e">
        <v>#REF!</v>
      </c>
      <c r="S4" s="11" t="e">
        <v>#REF!</v>
      </c>
      <c r="T4" s="14" t="e">
        <v>#REF!</v>
      </c>
    </row>
    <row r="5" spans="1:20">
      <c r="A5" s="34">
        <v>4</v>
      </c>
      <c r="B5" s="11" t="s">
        <v>108</v>
      </c>
      <c r="C5" s="11">
        <v>6.53</v>
      </c>
      <c r="D5" s="11">
        <v>7.93</v>
      </c>
      <c r="E5" s="11">
        <v>35</v>
      </c>
      <c r="F5" s="11">
        <v>31.03</v>
      </c>
      <c r="G5" s="11">
        <v>0.13</v>
      </c>
      <c r="H5" s="11" t="s">
        <v>103</v>
      </c>
      <c r="I5" s="11" t="s">
        <v>104</v>
      </c>
      <c r="J5" s="11">
        <v>7.8360000000000003</v>
      </c>
      <c r="K5" s="11">
        <v>5</v>
      </c>
      <c r="L5" s="11">
        <v>2.5</v>
      </c>
      <c r="M5" s="11">
        <v>1.5075000000000003</v>
      </c>
      <c r="N5" s="11">
        <v>4.0999999999999996</v>
      </c>
      <c r="O5" s="11">
        <v>12.836</v>
      </c>
      <c r="P5" s="11">
        <v>4.0075000000000003</v>
      </c>
      <c r="Q5" s="11">
        <v>4.0999999999999996</v>
      </c>
      <c r="R5" s="11" t="e">
        <v>#REF!</v>
      </c>
      <c r="S5" s="11" t="e">
        <v>#REF!</v>
      </c>
      <c r="T5" s="14" t="e">
        <v>#REF!</v>
      </c>
    </row>
    <row r="6" spans="1:20">
      <c r="A6" s="34">
        <v>5</v>
      </c>
      <c r="B6" s="11" t="s">
        <v>109</v>
      </c>
      <c r="C6" s="11">
        <v>6.61</v>
      </c>
      <c r="D6" s="11">
        <v>6.51</v>
      </c>
      <c r="E6" s="11">
        <v>40.21</v>
      </c>
      <c r="F6" s="11">
        <v>30.11</v>
      </c>
      <c r="G6" s="11">
        <v>0.13</v>
      </c>
      <c r="H6" s="11" t="s">
        <v>103</v>
      </c>
      <c r="I6" s="11" t="s">
        <v>104</v>
      </c>
      <c r="J6" s="11">
        <v>7.9320000000000004</v>
      </c>
      <c r="K6" s="11">
        <v>5</v>
      </c>
      <c r="L6" s="11">
        <v>3.8025000000000002</v>
      </c>
      <c r="M6" s="11">
        <v>1.2774999999999999</v>
      </c>
      <c r="N6" s="11">
        <v>4.0999999999999996</v>
      </c>
      <c r="O6" s="11">
        <v>12.932</v>
      </c>
      <c r="P6" s="11">
        <v>5.08</v>
      </c>
      <c r="Q6" s="11">
        <v>4.0999999999999996</v>
      </c>
      <c r="R6" s="11" t="e">
        <v>#REF!</v>
      </c>
      <c r="S6" s="11" t="e">
        <v>#REF!</v>
      </c>
      <c r="T6" s="14" t="e">
        <v>#REF!</v>
      </c>
    </row>
    <row r="7" spans="1:20" ht="14.25" thickBot="1">
      <c r="A7" s="35">
        <v>6</v>
      </c>
      <c r="B7" s="15" t="s">
        <v>110</v>
      </c>
      <c r="C7" s="15">
        <v>6.22</v>
      </c>
      <c r="D7" s="15">
        <v>5.57</v>
      </c>
      <c r="E7" s="15">
        <v>41.58</v>
      </c>
      <c r="F7" s="15">
        <v>45.05</v>
      </c>
      <c r="G7" s="15">
        <v>0.15</v>
      </c>
      <c r="H7" s="15" t="s">
        <v>106</v>
      </c>
      <c r="I7" s="15" t="s">
        <v>104</v>
      </c>
      <c r="J7" s="15">
        <v>7.4639999999999995</v>
      </c>
      <c r="K7" s="15">
        <v>3.1400000000000006</v>
      </c>
      <c r="L7" s="15">
        <v>4.1449999999999996</v>
      </c>
      <c r="M7" s="15">
        <v>5</v>
      </c>
      <c r="N7" s="15">
        <v>3.5</v>
      </c>
      <c r="O7" s="15">
        <v>10.603999999999999</v>
      </c>
      <c r="P7" s="15">
        <v>9.1449999999999996</v>
      </c>
      <c r="Q7" s="15">
        <v>3.5</v>
      </c>
      <c r="R7" s="15" t="e">
        <v>#REF!</v>
      </c>
      <c r="S7" s="15" t="e">
        <v>#REF!</v>
      </c>
      <c r="T7" s="16" t="e">
        <v>#REF!</v>
      </c>
    </row>
    <row r="9" spans="1:20">
      <c r="A9" s="1" t="s">
        <v>111</v>
      </c>
    </row>
    <row r="10" spans="1:20">
      <c r="A10" s="1" t="s">
        <v>83</v>
      </c>
      <c r="B10" s="1" t="s">
        <v>112</v>
      </c>
      <c r="C10" s="1" t="s">
        <v>113</v>
      </c>
    </row>
    <row r="11" spans="1:20">
      <c r="A11" s="1" t="s">
        <v>84</v>
      </c>
      <c r="B11" s="1" t="s">
        <v>112</v>
      </c>
      <c r="C11" s="1" t="s">
        <v>114</v>
      </c>
    </row>
    <row r="12" spans="1:20">
      <c r="A12" s="1" t="s">
        <v>85</v>
      </c>
      <c r="B12" s="1" t="s">
        <v>115</v>
      </c>
      <c r="C12" s="36" t="s">
        <v>116</v>
      </c>
    </row>
    <row r="13" spans="1:20">
      <c r="A13" s="1" t="s">
        <v>86</v>
      </c>
      <c r="B13" s="1" t="s">
        <v>115</v>
      </c>
      <c r="C13" s="36" t="s">
        <v>117</v>
      </c>
    </row>
    <row r="14" spans="1:20">
      <c r="A14" s="1" t="s">
        <v>87</v>
      </c>
      <c r="B14" s="36" t="s">
        <v>118</v>
      </c>
      <c r="C14" s="36" t="s">
        <v>119</v>
      </c>
    </row>
    <row r="15" spans="1:20">
      <c r="A15" s="1" t="s">
        <v>88</v>
      </c>
      <c r="B15" s="36" t="s">
        <v>118</v>
      </c>
      <c r="C15" s="36" t="s">
        <v>120</v>
      </c>
    </row>
    <row r="16" spans="1:20">
      <c r="A16" s="1" t="s">
        <v>78</v>
      </c>
      <c r="B16" s="1" t="s">
        <v>121</v>
      </c>
      <c r="C16" s="1" t="s">
        <v>122</v>
      </c>
      <c r="D16" s="36" t="s">
        <v>123</v>
      </c>
    </row>
    <row r="17" spans="1:4">
      <c r="A17" s="1" t="s">
        <v>124</v>
      </c>
      <c r="B17" s="1" t="s">
        <v>125</v>
      </c>
      <c r="C17" s="1" t="s">
        <v>125</v>
      </c>
      <c r="D17" s="1" t="s">
        <v>126</v>
      </c>
    </row>
    <row r="18" spans="1:4">
      <c r="A18" s="1" t="s">
        <v>127</v>
      </c>
      <c r="B18" s="1" t="s">
        <v>125</v>
      </c>
      <c r="C18" s="1" t="s">
        <v>125</v>
      </c>
      <c r="D18" s="1" t="s">
        <v>128</v>
      </c>
    </row>
    <row r="19" spans="1:4">
      <c r="A19" s="1" t="s">
        <v>89</v>
      </c>
      <c r="B19" s="1" t="s">
        <v>121</v>
      </c>
      <c r="C19" s="1" t="s">
        <v>129</v>
      </c>
      <c r="D19" s="36" t="s">
        <v>123</v>
      </c>
    </row>
    <row r="20" spans="1:4">
      <c r="A20" s="1" t="s">
        <v>90</v>
      </c>
      <c r="B20" s="1" t="s">
        <v>121</v>
      </c>
      <c r="C20" s="1" t="s">
        <v>130</v>
      </c>
      <c r="D20" s="36" t="s">
        <v>123</v>
      </c>
    </row>
    <row r="21" spans="1:4">
      <c r="A21" s="1" t="s">
        <v>91</v>
      </c>
      <c r="B21" s="1" t="s">
        <v>131</v>
      </c>
    </row>
    <row r="22" spans="1:4">
      <c r="A22" s="1" t="s">
        <v>92</v>
      </c>
      <c r="B22" s="1" t="s">
        <v>131</v>
      </c>
    </row>
    <row r="23" spans="1:4">
      <c r="A23" s="1" t="s">
        <v>93</v>
      </c>
      <c r="B23" s="1" t="s">
        <v>131</v>
      </c>
    </row>
    <row r="24" spans="1:4">
      <c r="A24" s="1" t="s">
        <v>94</v>
      </c>
      <c r="B24" s="1" t="s">
        <v>131</v>
      </c>
    </row>
    <row r="25" spans="1:4">
      <c r="A25" s="1" t="s">
        <v>95</v>
      </c>
      <c r="B25" s="1" t="s">
        <v>131</v>
      </c>
    </row>
    <row r="26" spans="1:4">
      <c r="A26" s="1" t="s">
        <v>96</v>
      </c>
      <c r="B26" s="1" t="s">
        <v>131</v>
      </c>
    </row>
    <row r="27" spans="1:4">
      <c r="A27" s="1" t="s">
        <v>97</v>
      </c>
      <c r="B27" s="1" t="s">
        <v>131</v>
      </c>
    </row>
    <row r="28" spans="1:4">
      <c r="A28" s="1" t="s">
        <v>98</v>
      </c>
      <c r="B28" s="1" t="s">
        <v>131</v>
      </c>
    </row>
    <row r="29" spans="1:4">
      <c r="A29" s="1" t="s">
        <v>132</v>
      </c>
      <c r="B29" s="1" t="s">
        <v>131</v>
      </c>
      <c r="D29" s="1" t="s">
        <v>126</v>
      </c>
    </row>
    <row r="30" spans="1:4">
      <c r="A30" s="1" t="s">
        <v>133</v>
      </c>
      <c r="B30" s="1" t="s">
        <v>131</v>
      </c>
      <c r="D30" s="1" t="s">
        <v>126</v>
      </c>
    </row>
    <row r="31" spans="1:4">
      <c r="A31" s="1" t="s">
        <v>99</v>
      </c>
      <c r="B31" s="1" t="s">
        <v>131</v>
      </c>
    </row>
    <row r="32" spans="1:4">
      <c r="A32" s="1" t="s">
        <v>100</v>
      </c>
      <c r="B32" s="1" t="s">
        <v>131</v>
      </c>
    </row>
    <row r="33" spans="1:2">
      <c r="A33" s="1" t="s">
        <v>101</v>
      </c>
      <c r="B33" s="1" t="s">
        <v>131</v>
      </c>
    </row>
    <row r="110" spans="1:25">
      <c r="A110" s="1" t="s">
        <v>134</v>
      </c>
    </row>
    <row r="111" spans="1:25" ht="14.25" thickBot="1"/>
    <row r="112" spans="1:25">
      <c r="A112" s="37" t="s">
        <v>135</v>
      </c>
      <c r="B112" s="38" t="s">
        <v>136</v>
      </c>
      <c r="C112" s="38"/>
      <c r="D112" s="38"/>
      <c r="E112" s="38" t="s">
        <v>137</v>
      </c>
      <c r="F112" s="38" t="s">
        <v>138</v>
      </c>
      <c r="G112" s="38" t="s">
        <v>87</v>
      </c>
      <c r="H112" s="38" t="s">
        <v>88</v>
      </c>
      <c r="I112" s="38"/>
      <c r="J112" s="38" t="s">
        <v>139</v>
      </c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 t="s">
        <v>140</v>
      </c>
      <c r="Y112" s="39"/>
    </row>
    <row r="113" spans="1:25">
      <c r="A113" s="40"/>
      <c r="J113" s="1" t="s">
        <v>141</v>
      </c>
      <c r="Y113" s="41"/>
    </row>
    <row r="114" spans="1:25">
      <c r="A114" s="40"/>
      <c r="J114" s="1" t="s">
        <v>142</v>
      </c>
      <c r="Y114" s="41"/>
    </row>
    <row r="115" spans="1:25">
      <c r="A115" s="40"/>
      <c r="B115" s="1" t="s">
        <v>143</v>
      </c>
      <c r="C115" s="1" t="s">
        <v>144</v>
      </c>
      <c r="D115" s="1" t="s">
        <v>145</v>
      </c>
      <c r="E115" s="1" t="s">
        <v>85</v>
      </c>
      <c r="F115" s="1" t="s">
        <v>85</v>
      </c>
      <c r="G115" s="1" t="s">
        <v>146</v>
      </c>
      <c r="H115" s="1" t="s">
        <v>146</v>
      </c>
      <c r="J115" s="1" t="s">
        <v>147</v>
      </c>
      <c r="Y115" s="41"/>
    </row>
    <row r="116" spans="1:25">
      <c r="A116" s="40"/>
      <c r="C116" s="1" t="s">
        <v>148</v>
      </c>
      <c r="D116" s="1" t="s">
        <v>149</v>
      </c>
      <c r="E116" s="1" t="s">
        <v>150</v>
      </c>
      <c r="F116" s="1" t="s">
        <v>150</v>
      </c>
      <c r="G116" s="1" t="s">
        <v>150</v>
      </c>
      <c r="H116" s="1" t="s">
        <v>150</v>
      </c>
      <c r="Y116" s="41"/>
    </row>
    <row r="117" spans="1:25">
      <c r="A117" s="40"/>
      <c r="C117" s="1" t="s">
        <v>151</v>
      </c>
      <c r="D117" s="1" t="s">
        <v>152</v>
      </c>
      <c r="E117" s="1" t="s">
        <v>153</v>
      </c>
      <c r="F117" s="1" t="s">
        <v>153</v>
      </c>
      <c r="G117" s="1" t="s">
        <v>153</v>
      </c>
      <c r="H117" s="1" t="s">
        <v>153</v>
      </c>
      <c r="Y117" s="41"/>
    </row>
    <row r="118" spans="1:25">
      <c r="A118" s="40"/>
      <c r="C118" s="1" t="s">
        <v>154</v>
      </c>
      <c r="J118" s="1" t="s">
        <v>155</v>
      </c>
      <c r="L118" s="1" t="s">
        <v>156</v>
      </c>
      <c r="N118" s="1" t="s">
        <v>157</v>
      </c>
      <c r="P118" s="1" t="s">
        <v>158</v>
      </c>
      <c r="R118" s="1" t="s">
        <v>159</v>
      </c>
      <c r="T118" s="1" t="s">
        <v>160</v>
      </c>
      <c r="Y118" s="41"/>
    </row>
    <row r="119" spans="1:25">
      <c r="A119" s="40">
        <v>1</v>
      </c>
      <c r="C119" s="1" t="s">
        <v>161</v>
      </c>
      <c r="D119" s="1" t="s">
        <v>162</v>
      </c>
      <c r="E119" s="1">
        <v>6.93</v>
      </c>
      <c r="F119" s="1">
        <v>6.63</v>
      </c>
      <c r="G119" s="1">
        <v>2</v>
      </c>
      <c r="H119" s="1">
        <v>34</v>
      </c>
      <c r="J119" s="1">
        <v>4</v>
      </c>
      <c r="K119" s="1">
        <v>10</v>
      </c>
      <c r="L119" s="1">
        <v>2</v>
      </c>
      <c r="M119" s="1">
        <v>12</v>
      </c>
      <c r="N119" s="1">
        <v>7</v>
      </c>
      <c r="P119" s="1">
        <v>5</v>
      </c>
      <c r="Q119" s="1">
        <v>12</v>
      </c>
      <c r="R119" s="1">
        <v>12</v>
      </c>
      <c r="Y119" s="41"/>
    </row>
    <row r="120" spans="1:25">
      <c r="A120" s="40"/>
      <c r="C120" s="1" t="s">
        <v>163</v>
      </c>
      <c r="D120" s="1" t="s">
        <v>164</v>
      </c>
      <c r="E120" s="1">
        <v>53.51</v>
      </c>
      <c r="F120" s="1">
        <v>53.77</v>
      </c>
      <c r="G120" s="1">
        <v>34.58</v>
      </c>
      <c r="H120" s="1">
        <v>43.18</v>
      </c>
      <c r="J120" s="1">
        <v>3</v>
      </c>
      <c r="K120" s="1">
        <v>1</v>
      </c>
      <c r="L120" s="1">
        <v>5</v>
      </c>
      <c r="M120" s="1">
        <v>6</v>
      </c>
      <c r="N120" s="1">
        <v>4</v>
      </c>
      <c r="P120" s="1">
        <v>2</v>
      </c>
      <c r="Q120" s="1">
        <v>3</v>
      </c>
      <c r="R120" s="1">
        <v>1</v>
      </c>
      <c r="Y120" s="41"/>
    </row>
    <row r="121" spans="1:25">
      <c r="A121" s="40"/>
      <c r="C121" s="1" t="s">
        <v>165</v>
      </c>
      <c r="D121" s="1">
        <v>0.13</v>
      </c>
      <c r="E121" s="1">
        <v>74.56</v>
      </c>
      <c r="F121" s="1">
        <v>69.81</v>
      </c>
      <c r="G121" s="1">
        <v>45.79</v>
      </c>
      <c r="H121" s="1">
        <v>57.95</v>
      </c>
      <c r="J121" s="1">
        <v>0.02</v>
      </c>
      <c r="K121" s="1">
        <v>0.16</v>
      </c>
      <c r="L121" s="1">
        <v>0.1</v>
      </c>
      <c r="M121" s="1">
        <v>0.1</v>
      </c>
      <c r="N121" s="1">
        <v>7.0000000000000007E-2</v>
      </c>
      <c r="P121" s="1">
        <v>0.1</v>
      </c>
      <c r="Q121" s="1">
        <v>0.14000000000000001</v>
      </c>
      <c r="R121" s="1">
        <v>0.12</v>
      </c>
      <c r="Y121" s="41"/>
    </row>
    <row r="122" spans="1:25">
      <c r="A122" s="40"/>
      <c r="C122" s="1" t="s">
        <v>166</v>
      </c>
      <c r="J122" s="1">
        <v>1</v>
      </c>
      <c r="K122" s="1">
        <v>2</v>
      </c>
      <c r="L122" s="1">
        <v>1</v>
      </c>
      <c r="M122" s="1">
        <v>3</v>
      </c>
      <c r="N122" s="1">
        <v>2</v>
      </c>
      <c r="P122" s="1">
        <v>3</v>
      </c>
      <c r="Q122" s="1">
        <v>1</v>
      </c>
      <c r="R122" s="1">
        <v>1</v>
      </c>
      <c r="Y122" s="41"/>
    </row>
    <row r="123" spans="1:25">
      <c r="A123" s="40">
        <v>2</v>
      </c>
      <c r="C123" s="1" t="s">
        <v>167</v>
      </c>
      <c r="D123" s="1" t="s">
        <v>162</v>
      </c>
      <c r="E123" s="1">
        <v>5.78</v>
      </c>
      <c r="F123" s="1">
        <v>6.79</v>
      </c>
      <c r="G123" s="1">
        <v>26</v>
      </c>
      <c r="H123" s="1">
        <v>59</v>
      </c>
      <c r="J123" s="1">
        <v>9</v>
      </c>
      <c r="L123" s="1">
        <v>3</v>
      </c>
      <c r="M123" s="1">
        <v>7</v>
      </c>
      <c r="N123" s="1">
        <v>8</v>
      </c>
      <c r="P123" s="1">
        <v>6</v>
      </c>
      <c r="Q123" s="1">
        <v>12</v>
      </c>
      <c r="R123" s="1">
        <v>11</v>
      </c>
      <c r="Y123" s="41"/>
    </row>
    <row r="124" spans="1:25">
      <c r="A124" s="40"/>
      <c r="C124" s="1" t="s">
        <v>168</v>
      </c>
      <c r="D124" s="1" t="s">
        <v>164</v>
      </c>
      <c r="E124" s="1">
        <v>42.05</v>
      </c>
      <c r="F124" s="1">
        <v>52.38</v>
      </c>
      <c r="G124" s="1">
        <v>32.43</v>
      </c>
      <c r="H124" s="1">
        <v>36.049999999999997</v>
      </c>
      <c r="J124" s="1">
        <v>5</v>
      </c>
      <c r="L124" s="1">
        <v>3</v>
      </c>
      <c r="M124" s="1">
        <v>1</v>
      </c>
      <c r="N124" s="1">
        <v>2</v>
      </c>
      <c r="P124" s="1">
        <v>4</v>
      </c>
      <c r="Q124" s="1">
        <v>5</v>
      </c>
      <c r="R124" s="1">
        <v>1</v>
      </c>
      <c r="Y124" s="41"/>
    </row>
    <row r="125" spans="1:25">
      <c r="A125" s="40"/>
      <c r="C125" s="1" t="s">
        <v>165</v>
      </c>
      <c r="D125" s="1">
        <v>0.19</v>
      </c>
      <c r="E125" s="1">
        <v>61.36</v>
      </c>
      <c r="F125" s="1">
        <v>68.569999999999993</v>
      </c>
      <c r="G125" s="1">
        <v>55.86</v>
      </c>
      <c r="H125" s="1">
        <v>45.35</v>
      </c>
      <c r="J125" s="1">
        <v>0.13</v>
      </c>
      <c r="L125" s="1">
        <v>0.18</v>
      </c>
      <c r="M125" s="1">
        <v>0.28999999999999998</v>
      </c>
      <c r="N125" s="1">
        <v>0.2</v>
      </c>
      <c r="P125" s="1">
        <v>0.17</v>
      </c>
      <c r="Q125" s="1">
        <v>0.17</v>
      </c>
      <c r="R125" s="1">
        <v>7.0000000000000007E-2</v>
      </c>
      <c r="Y125" s="41"/>
    </row>
    <row r="126" spans="1:25">
      <c r="A126" s="40"/>
      <c r="C126" s="1" t="s">
        <v>169</v>
      </c>
      <c r="J126" s="1">
        <v>2</v>
      </c>
      <c r="L126" s="1">
        <v>1</v>
      </c>
      <c r="M126" s="1">
        <v>1</v>
      </c>
      <c r="N126" s="1">
        <v>2</v>
      </c>
      <c r="P126" s="1">
        <v>2</v>
      </c>
      <c r="Q126" s="1">
        <v>2</v>
      </c>
      <c r="R126" s="1">
        <v>1</v>
      </c>
      <c r="Y126" s="41"/>
    </row>
    <row r="127" spans="1:25">
      <c r="A127" s="40">
        <v>3</v>
      </c>
      <c r="C127" s="1" t="s">
        <v>170</v>
      </c>
      <c r="D127" s="1" t="s">
        <v>162</v>
      </c>
      <c r="E127" s="1">
        <v>6.21</v>
      </c>
      <c r="F127" s="1">
        <v>7.01</v>
      </c>
      <c r="G127" s="1">
        <v>62</v>
      </c>
      <c r="H127" s="1">
        <v>39</v>
      </c>
      <c r="J127" s="1">
        <v>8</v>
      </c>
      <c r="L127" s="1">
        <v>5</v>
      </c>
      <c r="M127" s="1">
        <v>12</v>
      </c>
      <c r="N127" s="1">
        <v>2</v>
      </c>
      <c r="O127" s="1">
        <v>11</v>
      </c>
      <c r="P127" s="1">
        <v>3</v>
      </c>
      <c r="Q127" s="1">
        <v>11</v>
      </c>
      <c r="R127" s="1">
        <v>10</v>
      </c>
      <c r="Y127" s="41"/>
    </row>
    <row r="128" spans="1:25">
      <c r="A128" s="40"/>
      <c r="C128" s="1" t="s">
        <v>171</v>
      </c>
      <c r="D128" s="1" t="s">
        <v>164</v>
      </c>
      <c r="E128" s="1">
        <v>36.049999999999997</v>
      </c>
      <c r="F128" s="1">
        <v>47.92</v>
      </c>
      <c r="G128" s="1">
        <v>32.93</v>
      </c>
      <c r="H128" s="1">
        <v>40.22</v>
      </c>
      <c r="J128" s="1">
        <v>4</v>
      </c>
      <c r="L128" s="1">
        <v>6</v>
      </c>
      <c r="M128" s="1">
        <v>2</v>
      </c>
      <c r="N128" s="1">
        <v>5</v>
      </c>
      <c r="O128" s="1">
        <v>1</v>
      </c>
      <c r="P128" s="1">
        <v>3</v>
      </c>
      <c r="Q128" s="1">
        <v>1</v>
      </c>
      <c r="R128" s="1">
        <v>1</v>
      </c>
      <c r="Y128" s="41"/>
    </row>
    <row r="129" spans="1:25">
      <c r="A129" s="40"/>
      <c r="C129" s="1" t="s">
        <v>172</v>
      </c>
      <c r="D129" s="1">
        <v>0.15</v>
      </c>
      <c r="E129" s="1">
        <v>50</v>
      </c>
      <c r="F129" s="1">
        <v>64.58</v>
      </c>
      <c r="G129" s="1">
        <v>47.56</v>
      </c>
      <c r="H129" s="1">
        <v>50</v>
      </c>
      <c r="J129" s="1">
        <v>0.16</v>
      </c>
      <c r="L129" s="1">
        <v>0.14000000000000001</v>
      </c>
      <c r="M129" s="1">
        <v>0.08</v>
      </c>
      <c r="N129" s="1">
        <v>0.16</v>
      </c>
      <c r="O129" s="1">
        <v>0.17</v>
      </c>
      <c r="P129" s="1">
        <v>0.11</v>
      </c>
      <c r="Q129" s="1">
        <v>0.17</v>
      </c>
      <c r="R129" s="1">
        <v>0.1</v>
      </c>
      <c r="Y129" s="41"/>
    </row>
    <row r="130" spans="1:25">
      <c r="A130" s="40"/>
      <c r="C130" s="1" t="s">
        <v>173</v>
      </c>
      <c r="J130" s="1">
        <v>3</v>
      </c>
      <c r="L130" s="1">
        <v>2</v>
      </c>
      <c r="M130" s="1">
        <v>5</v>
      </c>
      <c r="N130" s="1">
        <v>2</v>
      </c>
      <c r="O130" s="1">
        <v>1</v>
      </c>
      <c r="P130" s="1">
        <v>1</v>
      </c>
      <c r="Q130" s="1">
        <v>3</v>
      </c>
      <c r="R130" s="1">
        <v>1</v>
      </c>
      <c r="Y130" s="41"/>
    </row>
    <row r="131" spans="1:25">
      <c r="A131" s="40">
        <v>4</v>
      </c>
      <c r="C131" s="1" t="s">
        <v>174</v>
      </c>
      <c r="D131" s="1" t="s">
        <v>162</v>
      </c>
      <c r="E131" s="1">
        <v>6.53</v>
      </c>
      <c r="F131" s="1">
        <v>7.93</v>
      </c>
      <c r="G131" s="1">
        <v>23</v>
      </c>
      <c r="H131" s="1">
        <v>76</v>
      </c>
      <c r="J131" s="1">
        <v>4</v>
      </c>
      <c r="K131" s="1">
        <v>12</v>
      </c>
      <c r="L131" s="1">
        <v>6</v>
      </c>
      <c r="M131" s="1">
        <v>11</v>
      </c>
      <c r="N131" s="1">
        <v>5</v>
      </c>
      <c r="O131" s="1">
        <v>12</v>
      </c>
      <c r="P131" s="1">
        <v>11</v>
      </c>
      <c r="R131" s="1">
        <v>10</v>
      </c>
      <c r="Y131" s="41"/>
    </row>
    <row r="132" spans="1:25">
      <c r="A132" s="40"/>
      <c r="C132" s="1" t="s">
        <v>175</v>
      </c>
      <c r="D132" s="1" t="s">
        <v>164</v>
      </c>
      <c r="E132" s="1">
        <v>34.380000000000003</v>
      </c>
      <c r="F132" s="1">
        <v>54.39</v>
      </c>
      <c r="G132" s="1">
        <v>35</v>
      </c>
      <c r="H132" s="1">
        <v>31.03</v>
      </c>
      <c r="J132" s="1">
        <v>4</v>
      </c>
      <c r="K132" s="1">
        <v>2</v>
      </c>
      <c r="L132" s="1">
        <v>5</v>
      </c>
      <c r="M132" s="1">
        <v>3</v>
      </c>
      <c r="N132" s="1">
        <v>5</v>
      </c>
      <c r="O132" s="1">
        <v>1</v>
      </c>
      <c r="P132" s="1">
        <v>2</v>
      </c>
      <c r="R132" s="1">
        <v>2</v>
      </c>
      <c r="Y132" s="41"/>
    </row>
    <row r="133" spans="1:25">
      <c r="A133" s="40"/>
      <c r="C133" s="1" t="s">
        <v>165</v>
      </c>
      <c r="D133" s="1">
        <v>0.13</v>
      </c>
      <c r="E133" s="1">
        <v>54.17</v>
      </c>
      <c r="F133" s="1">
        <v>80.7</v>
      </c>
      <c r="G133" s="1">
        <v>52</v>
      </c>
      <c r="H133" s="1">
        <v>51.72</v>
      </c>
      <c r="J133" s="1">
        <v>0.04</v>
      </c>
      <c r="K133" s="1">
        <v>0.13</v>
      </c>
      <c r="L133" s="1">
        <v>0.15</v>
      </c>
      <c r="M133" s="1">
        <v>0.24</v>
      </c>
      <c r="N133" s="1">
        <v>0.11</v>
      </c>
      <c r="O133" s="1">
        <v>0.11</v>
      </c>
      <c r="P133" s="1">
        <v>7.0000000000000007E-2</v>
      </c>
      <c r="R133" s="1">
        <v>0.2</v>
      </c>
      <c r="Y133" s="41"/>
    </row>
    <row r="134" spans="1:25">
      <c r="A134" s="40"/>
      <c r="C134" s="1" t="s">
        <v>176</v>
      </c>
      <c r="J134" s="1">
        <v>3</v>
      </c>
      <c r="K134" s="1">
        <v>3</v>
      </c>
      <c r="L134" s="1">
        <v>3</v>
      </c>
      <c r="M134" s="1">
        <v>4</v>
      </c>
      <c r="N134" s="1">
        <v>3</v>
      </c>
      <c r="O134" s="1">
        <v>1</v>
      </c>
      <c r="P134" s="1">
        <v>1</v>
      </c>
      <c r="R134" s="1">
        <v>2</v>
      </c>
      <c r="Y134" s="41"/>
    </row>
    <row r="135" spans="1:25">
      <c r="A135" s="40">
        <v>5</v>
      </c>
      <c r="C135" s="1" t="s">
        <v>177</v>
      </c>
      <c r="D135" s="1" t="s">
        <v>162</v>
      </c>
      <c r="E135" s="1">
        <v>6.61</v>
      </c>
      <c r="F135" s="1">
        <v>6.51</v>
      </c>
      <c r="G135" s="1">
        <v>40</v>
      </c>
      <c r="H135" s="1">
        <v>47</v>
      </c>
      <c r="J135" s="1">
        <v>8</v>
      </c>
      <c r="K135" s="1">
        <v>12</v>
      </c>
      <c r="L135" s="1">
        <v>4</v>
      </c>
      <c r="M135" s="1">
        <v>10</v>
      </c>
      <c r="N135" s="1">
        <v>4</v>
      </c>
      <c r="O135" s="1">
        <v>8</v>
      </c>
      <c r="P135" s="1">
        <v>9</v>
      </c>
      <c r="R135" s="1">
        <v>11</v>
      </c>
      <c r="Y135" s="41"/>
    </row>
    <row r="136" spans="1:25">
      <c r="A136" s="40"/>
      <c r="C136" s="1" t="s">
        <v>178</v>
      </c>
      <c r="D136" s="1" t="s">
        <v>164</v>
      </c>
      <c r="E136" s="1">
        <v>44.53</v>
      </c>
      <c r="F136" s="1">
        <v>50</v>
      </c>
      <c r="G136" s="1">
        <v>40.21</v>
      </c>
      <c r="H136" s="1">
        <v>30.11</v>
      </c>
      <c r="J136" s="1">
        <v>5</v>
      </c>
      <c r="K136" s="1">
        <v>4</v>
      </c>
      <c r="L136" s="1">
        <v>3</v>
      </c>
      <c r="M136" s="1">
        <v>1</v>
      </c>
      <c r="N136" s="1">
        <v>2</v>
      </c>
      <c r="O136" s="1">
        <v>6</v>
      </c>
      <c r="P136" s="1">
        <v>3</v>
      </c>
      <c r="R136" s="1">
        <v>2</v>
      </c>
      <c r="Y136" s="41"/>
    </row>
    <row r="137" spans="1:25">
      <c r="A137" s="40"/>
      <c r="C137" s="1" t="s">
        <v>179</v>
      </c>
      <c r="D137" s="1">
        <v>0.13</v>
      </c>
      <c r="E137" s="1">
        <v>66.41</v>
      </c>
      <c r="F137" s="1">
        <v>63.77</v>
      </c>
      <c r="G137" s="1">
        <v>58.76</v>
      </c>
      <c r="H137" s="1">
        <v>45.16</v>
      </c>
      <c r="J137" s="1">
        <v>0.11</v>
      </c>
      <c r="K137" s="1">
        <v>0.13</v>
      </c>
      <c r="L137" s="1">
        <v>0.12</v>
      </c>
      <c r="M137" s="1">
        <v>0.11</v>
      </c>
      <c r="N137" s="1">
        <v>0.17</v>
      </c>
      <c r="O137" s="1">
        <v>0.12</v>
      </c>
      <c r="P137" s="1">
        <v>0.09</v>
      </c>
      <c r="R137" s="1">
        <v>0.09</v>
      </c>
      <c r="Y137" s="41"/>
    </row>
    <row r="138" spans="1:25">
      <c r="A138" s="40"/>
      <c r="C138" s="1" t="s">
        <v>180</v>
      </c>
      <c r="J138" s="1">
        <v>1</v>
      </c>
      <c r="K138" s="1">
        <v>6</v>
      </c>
      <c r="L138" s="1">
        <v>1</v>
      </c>
      <c r="M138" s="1">
        <v>1</v>
      </c>
      <c r="N138" s="1">
        <v>5</v>
      </c>
      <c r="O138" s="1">
        <v>4</v>
      </c>
      <c r="P138" s="1">
        <v>1</v>
      </c>
      <c r="R138" s="1">
        <v>2</v>
      </c>
      <c r="Y138" s="41"/>
    </row>
    <row r="139" spans="1:25">
      <c r="A139" s="40">
        <v>6</v>
      </c>
      <c r="C139" s="1" t="s">
        <v>181</v>
      </c>
      <c r="D139" s="1" t="s">
        <v>162</v>
      </c>
      <c r="E139" s="1">
        <v>6.22</v>
      </c>
      <c r="F139" s="1">
        <v>5.57</v>
      </c>
      <c r="G139" s="1">
        <v>24</v>
      </c>
      <c r="H139" s="1">
        <v>75</v>
      </c>
      <c r="J139" s="1">
        <v>6</v>
      </c>
      <c r="K139" s="1">
        <v>10</v>
      </c>
      <c r="L139" s="1">
        <v>1</v>
      </c>
      <c r="M139" s="1">
        <v>6</v>
      </c>
      <c r="N139" s="1">
        <v>7</v>
      </c>
      <c r="P139" s="1">
        <v>8</v>
      </c>
      <c r="R139" s="1">
        <v>12</v>
      </c>
      <c r="Y139" s="41"/>
    </row>
    <row r="140" spans="1:25">
      <c r="A140" s="40"/>
      <c r="C140" s="1" t="s">
        <v>182</v>
      </c>
      <c r="D140" s="1" t="s">
        <v>164</v>
      </c>
      <c r="E140" s="1">
        <v>45.65</v>
      </c>
      <c r="F140" s="1">
        <v>30.95</v>
      </c>
      <c r="G140" s="1">
        <v>41.58</v>
      </c>
      <c r="H140" s="1">
        <v>45.05</v>
      </c>
      <c r="J140" s="1">
        <v>1</v>
      </c>
      <c r="K140" s="1">
        <v>4</v>
      </c>
      <c r="L140" s="1">
        <v>6</v>
      </c>
      <c r="M140" s="1">
        <v>2</v>
      </c>
      <c r="N140" s="1">
        <v>3</v>
      </c>
      <c r="P140" s="1">
        <v>5</v>
      </c>
      <c r="R140" s="1">
        <v>6</v>
      </c>
      <c r="Y140" s="41"/>
    </row>
    <row r="141" spans="1:25">
      <c r="A141" s="40"/>
      <c r="C141" s="1" t="s">
        <v>165</v>
      </c>
      <c r="D141" s="1">
        <v>0.15</v>
      </c>
      <c r="E141" s="1">
        <v>66.3</v>
      </c>
      <c r="F141" s="1">
        <v>59.52</v>
      </c>
      <c r="G141" s="1">
        <v>55.45</v>
      </c>
      <c r="H141" s="1">
        <v>65.930000000000007</v>
      </c>
      <c r="J141" s="1">
        <v>0.2</v>
      </c>
      <c r="K141" s="1">
        <v>0.13</v>
      </c>
      <c r="L141" s="1">
        <v>0.19</v>
      </c>
      <c r="M141" s="1">
        <v>0.11</v>
      </c>
      <c r="N141" s="1">
        <v>0.09</v>
      </c>
      <c r="P141" s="1">
        <v>0.05</v>
      </c>
      <c r="R141" s="1">
        <v>7.0000000000000007E-2</v>
      </c>
      <c r="Y141" s="41"/>
    </row>
    <row r="142" spans="1:25">
      <c r="A142" s="40"/>
      <c r="C142" s="1" t="s">
        <v>183</v>
      </c>
      <c r="J142" s="1">
        <v>1</v>
      </c>
      <c r="K142" s="1">
        <v>4</v>
      </c>
      <c r="L142" s="1">
        <v>3</v>
      </c>
      <c r="M142" s="1">
        <v>5</v>
      </c>
      <c r="N142" s="1">
        <v>3</v>
      </c>
      <c r="P142" s="1">
        <v>2</v>
      </c>
      <c r="R142" s="1">
        <v>2</v>
      </c>
      <c r="Y142" s="41"/>
    </row>
    <row r="143" spans="1:25" ht="14.25" thickBot="1">
      <c r="A143" s="42" t="s">
        <v>184</v>
      </c>
      <c r="B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4"/>
    </row>
    <row r="144" spans="1:25">
      <c r="A144" s="1" t="s">
        <v>185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864C-A114-462D-A71F-13DF91F39678}">
  <sheetPr codeName="Sheet4"/>
  <dimension ref="A2:X117"/>
  <sheetViews>
    <sheetView tabSelected="1" topLeftCell="A64" workbookViewId="0">
      <selection activeCell="K80" sqref="K80"/>
    </sheetView>
  </sheetViews>
  <sheetFormatPr defaultRowHeight="13.5"/>
  <cols>
    <col min="1" max="1" width="4.75" style="1" customWidth="1"/>
    <col min="2" max="2" width="11.625" style="1" bestFit="1" customWidth="1"/>
    <col min="3" max="3" width="10.5" style="1" bestFit="1" customWidth="1"/>
    <col min="4" max="4" width="15.25" style="1" bestFit="1" customWidth="1"/>
    <col min="5" max="5" width="15" style="1" bestFit="1" customWidth="1"/>
    <col min="6" max="7" width="9" style="1"/>
    <col min="8" max="8" width="15.375" style="1" customWidth="1"/>
    <col min="9" max="9" width="11.75" style="1" customWidth="1"/>
    <col min="10" max="10" width="16.125" style="1" bestFit="1" customWidth="1"/>
    <col min="11" max="16384" width="9" style="1"/>
  </cols>
  <sheetData>
    <row r="2" spans="1:21" ht="14.25" thickBot="1">
      <c r="A2" s="1" t="s">
        <v>0</v>
      </c>
      <c r="D2" s="1" t="s">
        <v>65</v>
      </c>
    </row>
    <row r="3" spans="1:21" ht="14.25" thickBot="1">
      <c r="B3" s="5" t="s">
        <v>1</v>
      </c>
      <c r="C3" s="8">
        <v>46138</v>
      </c>
      <c r="D3" s="10" t="str">
        <f>E3&amp;E4&amp;E5</f>
        <v>20260426OMR05</v>
      </c>
      <c r="E3" s="9" t="str">
        <f>TEXT(C3,"yyyymmdd")</f>
        <v>20260426</v>
      </c>
    </row>
    <row r="4" spans="1:21">
      <c r="B4" s="6" t="s">
        <v>3</v>
      </c>
      <c r="C4" s="3" t="s">
        <v>47</v>
      </c>
      <c r="E4" s="1" t="str">
        <f>VLOOKUP(C4,非表示!D:E,2,FALSE)</f>
        <v>OMR</v>
      </c>
    </row>
    <row r="5" spans="1:21" ht="14.25" thickBot="1">
      <c r="B5" s="7" t="s">
        <v>2</v>
      </c>
      <c r="C5" s="4" t="s">
        <v>8</v>
      </c>
      <c r="E5" s="1" t="str">
        <f>C5</f>
        <v>05</v>
      </c>
    </row>
    <row r="7" spans="1:21" ht="14.25" thickBot="1">
      <c r="A7" s="1" t="s">
        <v>201</v>
      </c>
    </row>
    <row r="8" spans="1:21" ht="27.75" thickBot="1">
      <c r="B8" s="54" t="s">
        <v>83</v>
      </c>
      <c r="C8" s="55" t="s">
        <v>84</v>
      </c>
      <c r="D8" s="55" t="s">
        <v>85</v>
      </c>
      <c r="E8" s="55" t="s">
        <v>86</v>
      </c>
      <c r="F8" s="55" t="s">
        <v>87</v>
      </c>
      <c r="G8" s="55" t="s">
        <v>88</v>
      </c>
      <c r="H8" s="55" t="s">
        <v>78</v>
      </c>
      <c r="I8" s="55" t="s">
        <v>89</v>
      </c>
      <c r="J8" s="55" t="s">
        <v>90</v>
      </c>
      <c r="K8" s="55" t="s">
        <v>91</v>
      </c>
      <c r="L8" s="55" t="s">
        <v>92</v>
      </c>
      <c r="M8" s="55" t="s">
        <v>93</v>
      </c>
      <c r="N8" s="55" t="s">
        <v>94</v>
      </c>
      <c r="O8" s="55" t="s">
        <v>95</v>
      </c>
      <c r="P8" s="55" t="s">
        <v>96</v>
      </c>
      <c r="Q8" s="55" t="s">
        <v>97</v>
      </c>
      <c r="R8" s="55" t="s">
        <v>98</v>
      </c>
      <c r="S8" s="55" t="s">
        <v>99</v>
      </c>
      <c r="T8" s="55" t="s">
        <v>100</v>
      </c>
      <c r="U8" s="56" t="s">
        <v>101</v>
      </c>
    </row>
    <row r="9" spans="1:21" ht="14.25" thickTop="1">
      <c r="B9" s="45">
        <v>1</v>
      </c>
      <c r="C9" s="46" t="s">
        <v>314</v>
      </c>
      <c r="D9" s="46">
        <v>5.03</v>
      </c>
      <c r="E9" s="46">
        <v>4.71</v>
      </c>
      <c r="F9" s="46">
        <v>32.840000000000003</v>
      </c>
      <c r="G9" s="46">
        <v>29.83</v>
      </c>
      <c r="H9" s="46">
        <v>0.18</v>
      </c>
      <c r="I9" s="46" t="s">
        <v>186</v>
      </c>
      <c r="J9" s="46" t="s">
        <v>315</v>
      </c>
      <c r="K9" s="46">
        <v>6.0359999999999996</v>
      </c>
      <c r="L9" s="46">
        <v>1.42</v>
      </c>
      <c r="M9" s="46">
        <v>1.96</v>
      </c>
      <c r="N9" s="46">
        <v>1.20749999999999</v>
      </c>
      <c r="O9" s="46">
        <v>2.6</v>
      </c>
      <c r="P9" s="46">
        <v>7.4560000000000004</v>
      </c>
      <c r="Q9" s="46">
        <v>3.1675</v>
      </c>
      <c r="R9" s="46">
        <v>2.6</v>
      </c>
      <c r="S9" s="46">
        <v>13.2235</v>
      </c>
      <c r="T9" s="46">
        <v>6</v>
      </c>
      <c r="U9" s="47" t="s">
        <v>202</v>
      </c>
    </row>
    <row r="10" spans="1:21">
      <c r="B10" s="48">
        <v>2</v>
      </c>
      <c r="C10" s="49" t="s">
        <v>316</v>
      </c>
      <c r="D10" s="49">
        <v>5.32</v>
      </c>
      <c r="E10" s="49">
        <v>0</v>
      </c>
      <c r="F10" s="49">
        <v>31.6</v>
      </c>
      <c r="G10" s="49">
        <v>38</v>
      </c>
      <c r="H10" s="49">
        <v>0.17</v>
      </c>
      <c r="I10" s="49" t="s">
        <v>186</v>
      </c>
      <c r="J10" s="49" t="s">
        <v>250</v>
      </c>
      <c r="K10" s="49">
        <v>6.3840000000000003</v>
      </c>
      <c r="L10" s="49">
        <v>1</v>
      </c>
      <c r="M10" s="49">
        <v>1.65</v>
      </c>
      <c r="N10" s="49">
        <v>3.25</v>
      </c>
      <c r="O10" s="49">
        <v>2.8999999999999901</v>
      </c>
      <c r="P10" s="49">
        <v>7.3840000000000003</v>
      </c>
      <c r="Q10" s="49">
        <v>4.9000000000000004</v>
      </c>
      <c r="R10" s="49">
        <v>2.8999999999999901</v>
      </c>
      <c r="S10" s="49">
        <v>15.183999999999999</v>
      </c>
      <c r="T10" s="49">
        <v>15</v>
      </c>
      <c r="U10" s="50" t="s">
        <v>251</v>
      </c>
    </row>
    <row r="11" spans="1:21">
      <c r="B11" s="48">
        <v>3</v>
      </c>
      <c r="C11" s="49" t="s">
        <v>317</v>
      </c>
      <c r="D11" s="49">
        <v>7</v>
      </c>
      <c r="E11" s="49">
        <v>8.33</v>
      </c>
      <c r="F11" s="49">
        <v>31.34</v>
      </c>
      <c r="G11" s="49">
        <v>36.18</v>
      </c>
      <c r="H11" s="49">
        <v>0.17</v>
      </c>
      <c r="I11" s="49" t="s">
        <v>312</v>
      </c>
      <c r="J11" s="49" t="s">
        <v>310</v>
      </c>
      <c r="K11" s="49">
        <v>8.4</v>
      </c>
      <c r="L11" s="49">
        <v>5</v>
      </c>
      <c r="M11" s="49">
        <v>1.585</v>
      </c>
      <c r="N11" s="49">
        <v>2.7949999999999999</v>
      </c>
      <c r="O11" s="49">
        <v>2.8999999999999901</v>
      </c>
      <c r="P11" s="49">
        <v>13.4</v>
      </c>
      <c r="Q11" s="49">
        <v>4.38</v>
      </c>
      <c r="R11" s="49">
        <v>2.8999999999999901</v>
      </c>
      <c r="S11" s="49">
        <v>20.68</v>
      </c>
      <c r="T11" s="49">
        <v>3</v>
      </c>
      <c r="U11" s="50" t="s">
        <v>311</v>
      </c>
    </row>
    <row r="12" spans="1:21">
      <c r="B12" s="48">
        <v>4</v>
      </c>
      <c r="C12" s="49" t="s">
        <v>318</v>
      </c>
      <c r="D12" s="49">
        <v>5.43</v>
      </c>
      <c r="E12" s="49">
        <v>5</v>
      </c>
      <c r="F12" s="49">
        <v>27.36</v>
      </c>
      <c r="G12" s="49">
        <v>33.5</v>
      </c>
      <c r="H12" s="49">
        <v>0.18</v>
      </c>
      <c r="I12" s="49" t="s">
        <v>186</v>
      </c>
      <c r="J12" s="49" t="s">
        <v>319</v>
      </c>
      <c r="K12" s="49">
        <v>6.5159999999999902</v>
      </c>
      <c r="L12" s="49">
        <v>2</v>
      </c>
      <c r="M12" s="49">
        <v>1</v>
      </c>
      <c r="N12" s="49">
        <v>2.125</v>
      </c>
      <c r="O12" s="49">
        <v>2.6</v>
      </c>
      <c r="P12" s="49">
        <v>8.5159999999999894</v>
      </c>
      <c r="Q12" s="49">
        <v>3.125</v>
      </c>
      <c r="R12" s="49">
        <v>2.6</v>
      </c>
      <c r="S12" s="49">
        <v>14.241</v>
      </c>
      <c r="T12" s="49">
        <v>15</v>
      </c>
      <c r="U12" s="50" t="s">
        <v>251</v>
      </c>
    </row>
    <row r="13" spans="1:21">
      <c r="B13" s="48">
        <v>5</v>
      </c>
      <c r="C13" s="49" t="s">
        <v>320</v>
      </c>
      <c r="D13" s="49">
        <v>4.97</v>
      </c>
      <c r="E13" s="49">
        <v>0</v>
      </c>
      <c r="F13" s="49">
        <v>41.8</v>
      </c>
      <c r="G13" s="49">
        <v>37.31</v>
      </c>
      <c r="H13" s="49">
        <v>0.19</v>
      </c>
      <c r="I13" s="49" t="s">
        <v>186</v>
      </c>
      <c r="J13" s="49" t="s">
        <v>248</v>
      </c>
      <c r="K13" s="49">
        <v>5.9639999999999898</v>
      </c>
      <c r="L13" s="49">
        <v>1</v>
      </c>
      <c r="M13" s="49">
        <v>4.1999999999999904</v>
      </c>
      <c r="N13" s="49">
        <v>3.0775000000000001</v>
      </c>
      <c r="O13" s="49">
        <v>2.2999999999999998</v>
      </c>
      <c r="P13" s="49">
        <v>6.9639999999999898</v>
      </c>
      <c r="Q13" s="49">
        <v>7.2774999999999999</v>
      </c>
      <c r="R13" s="49">
        <v>2.2999999999999998</v>
      </c>
      <c r="S13" s="49">
        <v>16.541499999999999</v>
      </c>
      <c r="T13" s="49">
        <v>9</v>
      </c>
      <c r="U13" s="50" t="s">
        <v>251</v>
      </c>
    </row>
    <row r="14" spans="1:21" ht="14.25" thickBot="1">
      <c r="B14" s="51">
        <v>6</v>
      </c>
      <c r="C14" s="52" t="s">
        <v>321</v>
      </c>
      <c r="D14" s="52">
        <v>4.17</v>
      </c>
      <c r="E14" s="52">
        <v>4.28</v>
      </c>
      <c r="F14" s="52">
        <v>40.67</v>
      </c>
      <c r="G14" s="52">
        <v>31.77</v>
      </c>
      <c r="H14" s="52">
        <v>0.19</v>
      </c>
      <c r="I14" s="52" t="s">
        <v>186</v>
      </c>
      <c r="J14" s="52" t="s">
        <v>292</v>
      </c>
      <c r="K14" s="52">
        <v>5.0039999999999996</v>
      </c>
      <c r="L14" s="52">
        <v>1</v>
      </c>
      <c r="M14" s="52">
        <v>3.9175</v>
      </c>
      <c r="N14" s="52">
        <v>1.6924999999999999</v>
      </c>
      <c r="O14" s="52">
        <v>2.2999999999999998</v>
      </c>
      <c r="P14" s="52">
        <v>6.0039999999999996</v>
      </c>
      <c r="Q14" s="52">
        <v>5.61</v>
      </c>
      <c r="R14" s="52">
        <v>2.2999999999999998</v>
      </c>
      <c r="S14" s="52">
        <v>13.914</v>
      </c>
      <c r="T14" s="52">
        <v>13</v>
      </c>
      <c r="U14" s="53" t="s">
        <v>202</v>
      </c>
    </row>
    <row r="16" spans="1:21" ht="14.25" thickBot="1">
      <c r="A16" s="1" t="s">
        <v>187</v>
      </c>
    </row>
    <row r="17" spans="2:11" ht="14.25" thickBot="1">
      <c r="B17" s="57" t="s">
        <v>188</v>
      </c>
      <c r="C17" s="58">
        <v>123456</v>
      </c>
    </row>
    <row r="18" spans="2:11" ht="14.25" thickBot="1"/>
    <row r="19" spans="2:11" ht="14.25" thickBot="1">
      <c r="B19" s="59" t="s">
        <v>135</v>
      </c>
      <c r="C19" s="60" t="s">
        <v>189</v>
      </c>
      <c r="D19" s="60" t="s">
        <v>190</v>
      </c>
      <c r="E19" s="60" t="s">
        <v>191</v>
      </c>
      <c r="F19" s="60" t="s">
        <v>192</v>
      </c>
      <c r="G19" s="60" t="s">
        <v>193</v>
      </c>
      <c r="H19" s="60" t="s">
        <v>194</v>
      </c>
      <c r="I19" s="60" t="s">
        <v>195</v>
      </c>
      <c r="J19" s="60" t="s">
        <v>196</v>
      </c>
      <c r="K19" s="61" t="s">
        <v>197</v>
      </c>
    </row>
    <row r="20" spans="2:11" ht="14.25" thickTop="1">
      <c r="B20" s="45">
        <v>1</v>
      </c>
      <c r="C20" s="46" t="s">
        <v>198</v>
      </c>
      <c r="D20" s="84">
        <v>0</v>
      </c>
      <c r="E20" s="84">
        <v>0</v>
      </c>
      <c r="F20" s="84">
        <v>0</v>
      </c>
      <c r="G20" s="84">
        <v>0</v>
      </c>
      <c r="H20" s="84">
        <v>0</v>
      </c>
      <c r="I20" s="84">
        <v>0</v>
      </c>
      <c r="J20" s="84">
        <v>0</v>
      </c>
      <c r="K20" s="85">
        <v>0</v>
      </c>
    </row>
    <row r="21" spans="2:11">
      <c r="B21" s="62">
        <v>1</v>
      </c>
      <c r="C21" s="63" t="s">
        <v>199</v>
      </c>
      <c r="D21" s="86">
        <v>0</v>
      </c>
      <c r="E21" s="86">
        <v>0</v>
      </c>
      <c r="F21" s="86">
        <v>0</v>
      </c>
      <c r="G21" s="86">
        <v>0</v>
      </c>
      <c r="H21" s="86">
        <v>0</v>
      </c>
      <c r="I21" s="86">
        <v>0</v>
      </c>
      <c r="J21" s="86">
        <v>0</v>
      </c>
      <c r="K21" s="87">
        <v>0</v>
      </c>
    </row>
    <row r="22" spans="2:11">
      <c r="B22" s="64">
        <v>2</v>
      </c>
      <c r="C22" s="65" t="s">
        <v>198</v>
      </c>
      <c r="D22" s="88">
        <v>0</v>
      </c>
      <c r="E22" s="88">
        <v>8.6999999999999994E-2</v>
      </c>
      <c r="F22" s="88">
        <v>8.6999999999999994E-2</v>
      </c>
      <c r="G22" s="88">
        <v>0</v>
      </c>
      <c r="H22" s="88">
        <v>0.435</v>
      </c>
      <c r="I22" s="88">
        <v>0</v>
      </c>
      <c r="J22" s="88">
        <v>0</v>
      </c>
      <c r="K22" s="89">
        <v>0</v>
      </c>
    </row>
    <row r="23" spans="2:11">
      <c r="B23" s="66">
        <v>2</v>
      </c>
      <c r="C23" s="67" t="s">
        <v>199</v>
      </c>
      <c r="D23" s="90">
        <v>0</v>
      </c>
      <c r="E23" s="90">
        <v>0.154</v>
      </c>
      <c r="F23" s="90">
        <v>7.6999999999999999E-2</v>
      </c>
      <c r="G23" s="90">
        <v>0</v>
      </c>
      <c r="H23" s="90">
        <v>0.308</v>
      </c>
      <c r="I23" s="90">
        <v>0</v>
      </c>
      <c r="J23" s="90">
        <v>0</v>
      </c>
      <c r="K23" s="91">
        <v>0</v>
      </c>
    </row>
    <row r="24" spans="2:11">
      <c r="B24" s="68">
        <v>3</v>
      </c>
      <c r="C24" s="69" t="s">
        <v>198</v>
      </c>
      <c r="D24" s="92">
        <v>0</v>
      </c>
      <c r="E24" s="92">
        <v>0</v>
      </c>
      <c r="F24" s="92">
        <v>7.0999999999999994E-2</v>
      </c>
      <c r="G24" s="92">
        <v>0.14300000000000002</v>
      </c>
      <c r="H24" s="92">
        <v>0</v>
      </c>
      <c r="I24" s="92">
        <v>0</v>
      </c>
      <c r="J24" s="92">
        <v>0</v>
      </c>
      <c r="K24" s="93">
        <v>0</v>
      </c>
    </row>
    <row r="25" spans="2:11">
      <c r="B25" s="70">
        <v>3</v>
      </c>
      <c r="C25" s="71" t="s">
        <v>199</v>
      </c>
      <c r="D25" s="94">
        <v>0</v>
      </c>
      <c r="E25" s="94">
        <v>0</v>
      </c>
      <c r="F25" s="94">
        <v>0</v>
      </c>
      <c r="G25" s="94">
        <v>0.2</v>
      </c>
      <c r="H25" s="94">
        <v>0</v>
      </c>
      <c r="I25" s="94">
        <v>0</v>
      </c>
      <c r="J25" s="94">
        <v>0</v>
      </c>
      <c r="K25" s="95">
        <v>0</v>
      </c>
    </row>
    <row r="26" spans="2:11">
      <c r="B26" s="72">
        <v>4</v>
      </c>
      <c r="C26" s="73" t="s">
        <v>198</v>
      </c>
      <c r="D26" s="96">
        <v>0</v>
      </c>
      <c r="E26" s="96">
        <v>0</v>
      </c>
      <c r="F26" s="96">
        <v>0.2</v>
      </c>
      <c r="G26" s="96">
        <v>0</v>
      </c>
      <c r="H26" s="96">
        <v>0</v>
      </c>
      <c r="I26" s="96">
        <v>0</v>
      </c>
      <c r="J26" s="96">
        <v>0</v>
      </c>
      <c r="K26" s="97">
        <v>0</v>
      </c>
    </row>
    <row r="27" spans="2:11">
      <c r="B27" s="74">
        <v>4</v>
      </c>
      <c r="C27" s="75" t="s">
        <v>199</v>
      </c>
      <c r="D27" s="98">
        <v>0</v>
      </c>
      <c r="E27" s="98">
        <v>0</v>
      </c>
      <c r="F27" s="98">
        <v>0.1</v>
      </c>
      <c r="G27" s="98">
        <v>0</v>
      </c>
      <c r="H27" s="98">
        <v>0</v>
      </c>
      <c r="I27" s="98">
        <v>0</v>
      </c>
      <c r="J27" s="98">
        <v>0</v>
      </c>
      <c r="K27" s="99">
        <v>0</v>
      </c>
    </row>
    <row r="28" spans="2:11">
      <c r="B28" s="76">
        <v>5</v>
      </c>
      <c r="C28" s="77" t="s">
        <v>198</v>
      </c>
      <c r="D28" s="100">
        <v>0</v>
      </c>
      <c r="E28" s="100">
        <v>0</v>
      </c>
      <c r="F28" s="100">
        <v>0</v>
      </c>
      <c r="G28" s="100">
        <v>0.125</v>
      </c>
      <c r="H28" s="100">
        <v>0</v>
      </c>
      <c r="I28" s="100">
        <v>0</v>
      </c>
      <c r="J28" s="100">
        <v>0</v>
      </c>
      <c r="K28" s="101">
        <v>0</v>
      </c>
    </row>
    <row r="29" spans="2:11">
      <c r="B29" s="78">
        <v>5</v>
      </c>
      <c r="C29" s="79" t="s">
        <v>199</v>
      </c>
      <c r="D29" s="102">
        <v>0</v>
      </c>
      <c r="E29" s="102">
        <v>0</v>
      </c>
      <c r="F29" s="102">
        <v>0</v>
      </c>
      <c r="G29" s="102">
        <v>8.3000000000000004E-2</v>
      </c>
      <c r="H29" s="102">
        <v>0</v>
      </c>
      <c r="I29" s="102">
        <v>0</v>
      </c>
      <c r="J29" s="102">
        <v>0</v>
      </c>
      <c r="K29" s="103">
        <v>0</v>
      </c>
    </row>
    <row r="30" spans="2:11">
      <c r="B30" s="80">
        <v>6</v>
      </c>
      <c r="C30" s="81" t="s">
        <v>198</v>
      </c>
      <c r="D30" s="104">
        <v>0</v>
      </c>
      <c r="E30" s="104">
        <v>8.3000000000000004E-2</v>
      </c>
      <c r="F30" s="104">
        <v>0</v>
      </c>
      <c r="G30" s="104">
        <v>0</v>
      </c>
      <c r="H30" s="104">
        <v>0</v>
      </c>
      <c r="I30" s="104">
        <v>0</v>
      </c>
      <c r="J30" s="104">
        <v>0</v>
      </c>
      <c r="K30" s="105">
        <v>0</v>
      </c>
    </row>
    <row r="31" spans="2:11" ht="14.25" thickBot="1">
      <c r="B31" s="82">
        <v>6</v>
      </c>
      <c r="C31" s="83" t="s">
        <v>199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7">
        <v>0</v>
      </c>
    </row>
    <row r="33" spans="1:24">
      <c r="A33" s="1" t="s">
        <v>200</v>
      </c>
    </row>
    <row r="36" spans="1:24" ht="14.25" thickBot="1"/>
    <row r="37" spans="1:24" ht="41.25" thickBot="1">
      <c r="B37" s="54" t="s">
        <v>83</v>
      </c>
      <c r="C37" s="55" t="s">
        <v>203</v>
      </c>
      <c r="D37" s="55" t="s">
        <v>295</v>
      </c>
      <c r="E37" s="55" t="s">
        <v>296</v>
      </c>
      <c r="F37" s="55" t="s">
        <v>297</v>
      </c>
      <c r="G37" s="55" t="s">
        <v>298</v>
      </c>
      <c r="H37" s="55" t="s">
        <v>247</v>
      </c>
      <c r="I37" s="55" t="s">
        <v>204</v>
      </c>
      <c r="J37" s="55" t="s">
        <v>205</v>
      </c>
      <c r="K37" s="55" t="s">
        <v>206</v>
      </c>
      <c r="L37" s="55" t="s">
        <v>207</v>
      </c>
      <c r="M37" s="55" t="s">
        <v>208</v>
      </c>
      <c r="N37" s="55" t="s">
        <v>209</v>
      </c>
      <c r="O37" s="55" t="s">
        <v>210</v>
      </c>
      <c r="P37" s="55" t="s">
        <v>211</v>
      </c>
      <c r="Q37" s="55" t="s">
        <v>212</v>
      </c>
      <c r="R37" s="55" t="s">
        <v>219</v>
      </c>
      <c r="S37" s="55" t="s">
        <v>213</v>
      </c>
      <c r="T37" s="55" t="s">
        <v>214</v>
      </c>
      <c r="U37" s="55" t="s">
        <v>215</v>
      </c>
      <c r="V37" s="55" t="s">
        <v>216</v>
      </c>
      <c r="W37" s="55" t="s">
        <v>217</v>
      </c>
      <c r="X37" s="56" t="s">
        <v>218</v>
      </c>
    </row>
    <row r="38" spans="1:24" ht="14.25" thickTop="1">
      <c r="B38" s="108">
        <v>1</v>
      </c>
      <c r="C38" s="109">
        <v>1</v>
      </c>
      <c r="D38" s="109">
        <v>6.93</v>
      </c>
      <c r="E38" s="109">
        <v>37.770000000000003</v>
      </c>
      <c r="F38" s="109">
        <v>6.59</v>
      </c>
      <c r="G38" s="109">
        <v>7.44</v>
      </c>
      <c r="H38" s="109">
        <v>0.16</v>
      </c>
      <c r="I38" s="109">
        <v>0.12</v>
      </c>
      <c r="J38" s="109">
        <v>1</v>
      </c>
      <c r="K38" s="109">
        <v>1</v>
      </c>
      <c r="L38" s="109">
        <v>3</v>
      </c>
      <c r="M38" s="109">
        <v>3</v>
      </c>
      <c r="N38" s="109">
        <v>1</v>
      </c>
      <c r="O38" s="109">
        <v>8</v>
      </c>
      <c r="P38" s="109">
        <v>2</v>
      </c>
      <c r="Q38" s="109">
        <v>6</v>
      </c>
      <c r="R38" s="109">
        <v>4.8324999999999996</v>
      </c>
      <c r="S38" s="109">
        <v>16</v>
      </c>
      <c r="T38" s="109">
        <v>0</v>
      </c>
      <c r="U38" s="109" t="s">
        <v>221</v>
      </c>
      <c r="V38" s="109">
        <v>0</v>
      </c>
      <c r="W38" s="109">
        <v>0</v>
      </c>
      <c r="X38" s="110">
        <v>16</v>
      </c>
    </row>
    <row r="39" spans="1:24">
      <c r="B39" s="34">
        <v>2</v>
      </c>
      <c r="C39" s="11">
        <v>2</v>
      </c>
      <c r="D39" s="11">
        <v>6.93</v>
      </c>
      <c r="E39" s="11">
        <v>36.93</v>
      </c>
      <c r="F39" s="11">
        <v>6.23</v>
      </c>
      <c r="G39" s="11">
        <v>7.4</v>
      </c>
      <c r="H39" s="11">
        <v>0.21</v>
      </c>
      <c r="I39" s="11">
        <v>0.12</v>
      </c>
      <c r="J39" s="11">
        <v>1</v>
      </c>
      <c r="K39" s="11">
        <v>1</v>
      </c>
      <c r="L39" s="11">
        <v>5</v>
      </c>
      <c r="M39" s="11">
        <v>4</v>
      </c>
      <c r="N39" s="11">
        <v>1</v>
      </c>
      <c r="O39" s="11">
        <v>11</v>
      </c>
      <c r="P39" s="11">
        <v>2</v>
      </c>
      <c r="Q39" s="11">
        <v>9</v>
      </c>
      <c r="R39" s="11">
        <v>6.1</v>
      </c>
      <c r="S39" s="11">
        <v>22</v>
      </c>
      <c r="T39" s="11">
        <v>0</v>
      </c>
      <c r="U39" s="11" t="s">
        <v>249</v>
      </c>
      <c r="V39" s="11">
        <v>1</v>
      </c>
      <c r="W39" s="11">
        <v>0</v>
      </c>
      <c r="X39" s="14">
        <v>22</v>
      </c>
    </row>
    <row r="40" spans="1:24">
      <c r="B40" s="34">
        <v>3</v>
      </c>
      <c r="C40" s="11">
        <v>3</v>
      </c>
      <c r="D40" s="11">
        <v>6.98</v>
      </c>
      <c r="E40" s="11">
        <v>37.97</v>
      </c>
      <c r="F40" s="11">
        <v>6.47</v>
      </c>
      <c r="G40" s="11">
        <v>7.47</v>
      </c>
      <c r="H40" s="11">
        <v>0.09</v>
      </c>
      <c r="I40" s="11">
        <v>0.17</v>
      </c>
      <c r="J40" s="11">
        <v>1</v>
      </c>
      <c r="K40" s="11">
        <v>1</v>
      </c>
      <c r="L40" s="11">
        <v>3</v>
      </c>
      <c r="M40" s="11">
        <v>3</v>
      </c>
      <c r="N40" s="11">
        <v>3</v>
      </c>
      <c r="O40" s="11">
        <v>10</v>
      </c>
      <c r="P40" s="11">
        <v>4</v>
      </c>
      <c r="Q40" s="11">
        <v>6</v>
      </c>
      <c r="R40" s="11">
        <v>5.62</v>
      </c>
      <c r="S40" s="11">
        <v>20</v>
      </c>
      <c r="T40" s="11">
        <v>0</v>
      </c>
      <c r="U40" s="11" t="s">
        <v>221</v>
      </c>
      <c r="V40" s="11">
        <v>0</v>
      </c>
      <c r="W40" s="11">
        <v>1</v>
      </c>
      <c r="X40" s="14">
        <v>21</v>
      </c>
    </row>
    <row r="41" spans="1:24">
      <c r="B41" s="34">
        <v>4</v>
      </c>
      <c r="C41" s="11">
        <v>4</v>
      </c>
      <c r="D41" s="11">
        <v>6.93</v>
      </c>
      <c r="E41" s="11">
        <v>37.97</v>
      </c>
      <c r="F41" s="11">
        <v>6.5</v>
      </c>
      <c r="G41" s="11">
        <v>7.53</v>
      </c>
      <c r="H41" s="11">
        <v>0.04</v>
      </c>
      <c r="I41" s="11">
        <v>0.12</v>
      </c>
      <c r="J41" s="11">
        <v>1</v>
      </c>
      <c r="K41" s="11">
        <v>1</v>
      </c>
      <c r="L41" s="11">
        <v>3</v>
      </c>
      <c r="M41" s="11">
        <v>2</v>
      </c>
      <c r="N41" s="11">
        <v>5</v>
      </c>
      <c r="O41" s="11">
        <v>11</v>
      </c>
      <c r="P41" s="11">
        <v>6</v>
      </c>
      <c r="Q41" s="11">
        <v>5</v>
      </c>
      <c r="R41" s="11">
        <v>7.875</v>
      </c>
      <c r="S41" s="11">
        <v>22</v>
      </c>
      <c r="T41" s="11">
        <v>0</v>
      </c>
      <c r="U41" s="11" t="s">
        <v>246</v>
      </c>
      <c r="V41" s="11">
        <v>0</v>
      </c>
      <c r="W41" s="11">
        <v>0</v>
      </c>
      <c r="X41" s="14">
        <v>22</v>
      </c>
    </row>
    <row r="42" spans="1:24">
      <c r="B42" s="34">
        <v>5</v>
      </c>
      <c r="C42" s="11">
        <v>5</v>
      </c>
      <c r="D42" s="11">
        <v>6.89</v>
      </c>
      <c r="E42" s="11">
        <v>37.799999999999997</v>
      </c>
      <c r="F42" s="11">
        <v>6.67</v>
      </c>
      <c r="G42" s="11">
        <v>7.42</v>
      </c>
      <c r="H42" s="11">
        <v>-0.02</v>
      </c>
      <c r="I42" s="11">
        <v>0.08</v>
      </c>
      <c r="J42" s="11">
        <v>2</v>
      </c>
      <c r="K42" s="11">
        <v>1</v>
      </c>
      <c r="L42" s="11">
        <v>2</v>
      </c>
      <c r="M42" s="11">
        <v>3</v>
      </c>
      <c r="N42" s="11">
        <v>5</v>
      </c>
      <c r="O42" s="11">
        <v>12</v>
      </c>
      <c r="P42" s="11">
        <v>6</v>
      </c>
      <c r="Q42" s="11">
        <v>5</v>
      </c>
      <c r="R42" s="11">
        <v>4.7225000000000001</v>
      </c>
      <c r="S42" s="11">
        <v>23</v>
      </c>
      <c r="T42" s="11">
        <v>0</v>
      </c>
      <c r="U42" s="11" t="s">
        <v>246</v>
      </c>
      <c r="V42" s="11">
        <v>0</v>
      </c>
      <c r="W42" s="11">
        <v>1</v>
      </c>
      <c r="X42" s="14">
        <v>24</v>
      </c>
    </row>
    <row r="43" spans="1:24" ht="14.25" thickBot="1">
      <c r="B43" s="35">
        <v>6</v>
      </c>
      <c r="C43" s="15">
        <v>6</v>
      </c>
      <c r="D43" s="15">
        <v>6.93</v>
      </c>
      <c r="E43" s="15">
        <v>38</v>
      </c>
      <c r="F43" s="15">
        <v>6.87</v>
      </c>
      <c r="G43" s="15">
        <v>7.47</v>
      </c>
      <c r="H43" s="15">
        <v>0.1</v>
      </c>
      <c r="I43" s="15">
        <v>0.12</v>
      </c>
      <c r="J43" s="15">
        <v>1</v>
      </c>
      <c r="K43" s="15">
        <v>1</v>
      </c>
      <c r="L43" s="15">
        <v>1</v>
      </c>
      <c r="M43" s="15">
        <v>3</v>
      </c>
      <c r="N43" s="15">
        <v>3</v>
      </c>
      <c r="O43" s="15">
        <v>8</v>
      </c>
      <c r="P43" s="15">
        <v>4</v>
      </c>
      <c r="Q43" s="15">
        <v>4</v>
      </c>
      <c r="R43" s="15">
        <v>2.3899999999999997</v>
      </c>
      <c r="S43" s="15">
        <v>16</v>
      </c>
      <c r="T43" s="15">
        <v>0</v>
      </c>
      <c r="U43" s="15" t="s">
        <v>221</v>
      </c>
      <c r="V43" s="15">
        <v>0</v>
      </c>
      <c r="W43" s="15">
        <v>0</v>
      </c>
      <c r="X43" s="16">
        <v>16</v>
      </c>
    </row>
    <row r="46" spans="1:24">
      <c r="A46" s="1" t="s">
        <v>222</v>
      </c>
    </row>
    <row r="48" spans="1:24" ht="14.25" thickBot="1"/>
    <row r="49" spans="1:18" ht="41.25" thickBot="1">
      <c r="B49" s="54" t="s">
        <v>83</v>
      </c>
      <c r="C49" s="55" t="s">
        <v>234</v>
      </c>
      <c r="D49" s="55" t="s">
        <v>223</v>
      </c>
      <c r="E49" s="55" t="s">
        <v>224</v>
      </c>
      <c r="F49" s="115" t="s">
        <v>225</v>
      </c>
      <c r="G49" s="55" t="s">
        <v>226</v>
      </c>
      <c r="H49" s="55" t="s">
        <v>227</v>
      </c>
      <c r="I49" s="55" t="s">
        <v>228</v>
      </c>
      <c r="J49" s="55" t="s">
        <v>229</v>
      </c>
      <c r="K49" s="55" t="s">
        <v>230</v>
      </c>
      <c r="L49" s="55" t="s">
        <v>231</v>
      </c>
      <c r="M49" s="55" t="s">
        <v>232</v>
      </c>
      <c r="N49" s="56" t="s">
        <v>233</v>
      </c>
    </row>
    <row r="50" spans="1:18" ht="14.25" thickTop="1">
      <c r="B50" s="108">
        <v>1</v>
      </c>
      <c r="C50" s="109">
        <f t="shared" ref="C50:C55" si="0">C38</f>
        <v>1</v>
      </c>
      <c r="D50" s="114"/>
      <c r="E50" s="114"/>
      <c r="F50" s="114">
        <v>0</v>
      </c>
      <c r="G50" s="109" t="s">
        <v>235</v>
      </c>
      <c r="H50" s="109" t="s">
        <v>235</v>
      </c>
      <c r="I50" s="109" t="s">
        <v>235</v>
      </c>
      <c r="J50" s="109" t="s">
        <v>235</v>
      </c>
      <c r="K50" s="109" t="s">
        <v>236</v>
      </c>
      <c r="L50" s="109">
        <v>0</v>
      </c>
      <c r="M50" s="109">
        <v>16</v>
      </c>
      <c r="N50" s="110">
        <v>1</v>
      </c>
    </row>
    <row r="51" spans="1:18">
      <c r="B51" s="34">
        <v>2</v>
      </c>
      <c r="C51" s="11">
        <f t="shared" si="0"/>
        <v>2</v>
      </c>
      <c r="D51" s="112">
        <v>0.647887323943662</v>
      </c>
      <c r="E51" s="112">
        <v>0.83333333333333304</v>
      </c>
      <c r="F51" s="112">
        <v>0.28181999999999996</v>
      </c>
      <c r="G51" s="11" t="s">
        <v>235</v>
      </c>
      <c r="H51" s="11" t="s">
        <v>235</v>
      </c>
      <c r="I51" s="11" t="s">
        <v>235</v>
      </c>
      <c r="J51" s="11" t="s">
        <v>235</v>
      </c>
      <c r="K51" s="11" t="s">
        <v>220</v>
      </c>
      <c r="L51" s="11">
        <v>1</v>
      </c>
      <c r="M51" s="11">
        <v>23</v>
      </c>
      <c r="N51" s="14">
        <v>0</v>
      </c>
    </row>
    <row r="52" spans="1:18">
      <c r="B52" s="34">
        <v>3</v>
      </c>
      <c r="C52" s="11">
        <f t="shared" si="0"/>
        <v>3</v>
      </c>
      <c r="D52" s="112">
        <v>0.82051282051282004</v>
      </c>
      <c r="E52" s="112">
        <v>0.81428571428571395</v>
      </c>
      <c r="F52" s="112">
        <v>0.24</v>
      </c>
      <c r="G52" s="11" t="s">
        <v>235</v>
      </c>
      <c r="H52" s="11" t="s">
        <v>235</v>
      </c>
      <c r="I52" s="11" t="s">
        <v>235</v>
      </c>
      <c r="J52" s="11" t="s">
        <v>308</v>
      </c>
      <c r="K52" s="11" t="s">
        <v>309</v>
      </c>
      <c r="L52" s="11">
        <v>1</v>
      </c>
      <c r="M52" s="11">
        <v>22</v>
      </c>
      <c r="N52" s="14">
        <v>0</v>
      </c>
    </row>
    <row r="53" spans="1:18">
      <c r="B53" s="34">
        <v>4</v>
      </c>
      <c r="C53" s="11">
        <f t="shared" si="0"/>
        <v>4</v>
      </c>
      <c r="D53" s="112">
        <v>0.70149253731343197</v>
      </c>
      <c r="E53" s="112">
        <v>0.71428571428571397</v>
      </c>
      <c r="F53" s="112">
        <v>0.122</v>
      </c>
      <c r="G53" s="11" t="s">
        <v>235</v>
      </c>
      <c r="H53" s="11" t="s">
        <v>235</v>
      </c>
      <c r="I53" s="11" t="s">
        <v>235</v>
      </c>
      <c r="J53" s="11" t="s">
        <v>235</v>
      </c>
      <c r="K53" s="11" t="s">
        <v>309</v>
      </c>
      <c r="L53" s="11">
        <v>1</v>
      </c>
      <c r="M53" s="11">
        <v>23</v>
      </c>
      <c r="N53" s="14">
        <v>0</v>
      </c>
    </row>
    <row r="54" spans="1:18">
      <c r="B54" s="34">
        <v>5</v>
      </c>
      <c r="C54" s="11">
        <f t="shared" si="0"/>
        <v>5</v>
      </c>
      <c r="D54" s="112">
        <v>0.72368421052631504</v>
      </c>
      <c r="E54" s="112">
        <v>0.68181818181818099</v>
      </c>
      <c r="F54" s="112">
        <v>0.10209</v>
      </c>
      <c r="G54" s="11" t="s">
        <v>235</v>
      </c>
      <c r="H54" s="11" t="s">
        <v>235</v>
      </c>
      <c r="I54" s="11" t="s">
        <v>235</v>
      </c>
      <c r="J54" s="11" t="s">
        <v>235</v>
      </c>
      <c r="K54" s="11" t="s">
        <v>309</v>
      </c>
      <c r="L54" s="11">
        <v>1</v>
      </c>
      <c r="M54" s="11">
        <v>25</v>
      </c>
      <c r="N54" s="14">
        <v>0</v>
      </c>
    </row>
    <row r="55" spans="1:18" ht="14.25" thickBot="1">
      <c r="B55" s="35">
        <v>6</v>
      </c>
      <c r="C55" s="15">
        <f t="shared" si="0"/>
        <v>6</v>
      </c>
      <c r="D55" s="113">
        <v>0.75</v>
      </c>
      <c r="E55" s="113">
        <v>0.62068965517241304</v>
      </c>
      <c r="F55" s="113">
        <v>0</v>
      </c>
      <c r="G55" s="15" t="s">
        <v>235</v>
      </c>
      <c r="H55" s="15" t="s">
        <v>235</v>
      </c>
      <c r="I55" s="15" t="s">
        <v>235</v>
      </c>
      <c r="J55" s="15" t="s">
        <v>235</v>
      </c>
      <c r="K55" s="15" t="s">
        <v>236</v>
      </c>
      <c r="L55" s="15">
        <v>0</v>
      </c>
      <c r="M55" s="15">
        <v>16</v>
      </c>
      <c r="N55" s="16">
        <v>0</v>
      </c>
    </row>
    <row r="56" spans="1:18" ht="14.25" thickBot="1"/>
    <row r="57" spans="1:18" ht="27">
      <c r="B57" s="30" t="s">
        <v>237</v>
      </c>
      <c r="C57" s="31" t="s">
        <v>238</v>
      </c>
      <c r="D57" s="31" t="s">
        <v>239</v>
      </c>
      <c r="E57" s="31" t="s">
        <v>240</v>
      </c>
      <c r="F57" s="31" t="s">
        <v>241</v>
      </c>
      <c r="G57" s="31" t="s">
        <v>242</v>
      </c>
      <c r="H57" s="32" t="s">
        <v>243</v>
      </c>
    </row>
    <row r="58" spans="1:18">
      <c r="B58" s="34" t="s">
        <v>244</v>
      </c>
      <c r="C58" s="11">
        <f>INDEX(C50:C55, MATCH(MAX(M50:M55), M50:M55, 0))</f>
        <v>5</v>
      </c>
      <c r="D58" s="11" t="str" cm="1">
        <f t="array" ref="D58">_xlfn.LET(
   _xlpm.head, C58,
   _xlpm.nums, _xlfn._xlws.FILTER(C50:C55, C50:C55&lt;&gt;_xlpm.head),
   _xlpm.scores, _xlfn._xlws.FILTER(M50:M55, C50:C55&lt;&gt;_xlpm.head),
   _xlpm.sorted, _xlfn.TAKE(_xlfn.SORTBY(_xlpm.nums, _xlpm.scores, -1), 3),
   _xlfn.TEXTJOIN("・", TRUE, _xlpm.sorted)
)</f>
        <v>2・4・3</v>
      </c>
      <c r="E58" s="11" t="str" cm="1">
        <f t="array" ref="E58">_xlfn.TEXTJOIN("・", TRUE,
   IF(
      (N50:N55=1) *
      ISERROR(MATCH(C50:C55, --_xlfn.TEXTSPLIT(D58,"・"), 0)) *
      (C50:C55&lt;&gt;C58),
      C50:C55,
      ""
   )
)</f>
        <v>1</v>
      </c>
      <c r="F58" s="11" t="str">
        <f>_xlfn.TEXTJOIN("",,_xlfn.TEXTSPLIT(D58,"・"))</f>
        <v>243</v>
      </c>
      <c r="G58" s="11" t="str">
        <f>IF(E58="", "", _xlfn.TEXTJOIN("",,_xlfn.TEXTSPLIT(E58,"・")))</f>
        <v>1</v>
      </c>
      <c r="H58" s="14" t="str" cm="1">
        <f t="array" ref="H58">IF(
  C58="",
  "",
  _xlfn.LET(
    _xlpm.head, TEXT(C58,"0"),
    _xlpm.mates, F58,
    _xlpm.cut, G58,
    _xlpm.used, _xlpm.head &amp; _xlpm.mates &amp; _xlpm.cut,
    _xlpm.nums, _xlfn.SEQUENCE(6),
    _xlpm.cond, ISNUMBER(IFERROR(FIND(TEXT(_xlpm.nums,"0"), _xlpm.used), "")),
    _xlpm.rest, _xlfn.TEXTJOIN("",,IF(_xlpm.cond, "", TEXT(_xlpm.nums,"0"))),
    _xlpm.head &amp; "-" &amp; _xlpm.mates &amp; "-" &amp; _xlpm.mates &amp; _xlpm.rest
  )
)</f>
        <v>5-243-2436</v>
      </c>
    </row>
    <row r="59" spans="1:18" ht="14.25" thickBot="1">
      <c r="B59" s="35" t="s">
        <v>245</v>
      </c>
      <c r="C59" s="15" cm="1">
        <f t="array" ref="C59">INDEX(C50:C55,
   MATCH(
      LARGE(IF(C50:C55&lt;&gt;C58, M50:M55), 1),
      IF(C50:C55&lt;&gt;C58, M50:M55),
   0))</f>
        <v>2</v>
      </c>
      <c r="D59" s="15" t="str" cm="1">
        <f t="array" ref="D59">_xlfn.LET(
   _xlpm.head, C59,
   _xlpm.nums, _xlfn._xlws.FILTER(C50:C55, C50:C55&lt;&gt;_xlpm.head),
   _xlpm.scores, _xlfn._xlws.FILTER(M50:M55, C50:C55&lt;&gt;_xlpm.head),
   _xlpm.sorted, _xlfn.TAKE(_xlfn.SORTBY(_xlpm.nums, _xlpm.scores, -1), 3),
   _xlfn.TEXTJOIN("・", TRUE, _xlpm.sorted)
)</f>
        <v>5・4・3</v>
      </c>
      <c r="E59" s="15" t="str" cm="1">
        <f t="array" ref="E59">_xlfn.TEXTJOIN("・", TRUE,
   IF(
      (N50:N55=1) *
      ISERROR(MATCH(C50:C55, --_xlfn.TEXTSPLIT(D59,"・"), 0)) *
      (C50:C55&lt;&gt;C59),
      C50:C55,
      ""
   )
)</f>
        <v>1</v>
      </c>
      <c r="F59" s="15" t="str">
        <f>_xlfn.TEXTJOIN("",,_xlfn.TEXTSPLIT(D59,"・"))</f>
        <v>543</v>
      </c>
      <c r="G59" s="15" t="str">
        <f>IF(E59="", "", _xlfn.TEXTJOIN("",,_xlfn.TEXTSPLIT(E59,"・")))</f>
        <v>1</v>
      </c>
      <c r="H59" s="16" t="str" cm="1">
        <f t="array" ref="H59">IF(
  C59="",
  "",
  _xlfn.LET(
    _xlpm.head, TEXT(C59,"0"),
    _xlpm.mates, F59,
    _xlpm.cut, G59,
    _xlpm.used, _xlpm.head &amp; _xlpm.mates &amp; _xlpm.cut,
    _xlpm.nums, _xlfn.SEQUENCE(6),
    _xlpm.cond, ISNUMBER(IFERROR(FIND(TEXT(_xlpm.nums,"0"), _xlpm.used), "")),
    _xlpm.rest, _xlfn.TEXTJOIN("",,IF(_xlpm.cond, "", TEXT(_xlpm.nums,"0"))),
    _xlpm.head &amp; "-" &amp; _xlpm.mates &amp; "-" &amp; _xlpm.mates &amp; _xlpm.rest
  )
)</f>
        <v>2-543-5436</v>
      </c>
      <c r="J59" s="111"/>
    </row>
    <row r="62" spans="1:18">
      <c r="A62" s="1" t="s">
        <v>252</v>
      </c>
    </row>
    <row r="63" spans="1:18" ht="14.25" thickBot="1">
      <c r="I63" s="1" t="s">
        <v>300</v>
      </c>
    </row>
    <row r="64" spans="1:18" ht="14.25" thickBot="1">
      <c r="B64" s="145" t="s">
        <v>253</v>
      </c>
      <c r="C64" s="145" t="s">
        <v>254</v>
      </c>
      <c r="D64" s="145" t="s">
        <v>255</v>
      </c>
      <c r="E64" s="145" t="s">
        <v>256</v>
      </c>
      <c r="F64" s="145" t="s">
        <v>257</v>
      </c>
      <c r="G64" s="145" t="s">
        <v>258</v>
      </c>
      <c r="H64" s="155" t="s">
        <v>322</v>
      </c>
      <c r="I64" s="152" t="s">
        <v>253</v>
      </c>
      <c r="J64" s="153" t="str">
        <f>VLOOKUP($C$4,非表示!$G$2:$K$25,3,FALSE)</f>
        <v>展示タイム</v>
      </c>
      <c r="K64" s="153" t="str">
        <f>VLOOKUP($C$4,非表示!$G$2:$K$25,4,FALSE)</f>
        <v>周回</v>
      </c>
      <c r="L64" s="153" t="str">
        <f>VLOOKUP($C$4,非表示!$G$2:$K$25,5,FALSE)</f>
        <v xml:space="preserve">直線   </v>
      </c>
      <c r="M64" s="153" t="s">
        <v>301</v>
      </c>
      <c r="N64" s="153" t="s">
        <v>306</v>
      </c>
      <c r="O64" s="153" t="s">
        <v>302</v>
      </c>
      <c r="P64" s="153" t="s">
        <v>303</v>
      </c>
      <c r="Q64" s="153" t="s">
        <v>304</v>
      </c>
      <c r="R64" s="154" t="s">
        <v>305</v>
      </c>
    </row>
    <row r="65" spans="2:18" ht="14.25" thickTop="1">
      <c r="B65" s="108">
        <v>1</v>
      </c>
      <c r="C65" s="109" t="s">
        <v>259</v>
      </c>
      <c r="D65" s="143">
        <v>7.7899999999999997E-2</v>
      </c>
      <c r="E65" s="143">
        <v>-4.1300000000000003E-2</v>
      </c>
      <c r="F65" s="143">
        <v>-9.7000000000000003E-3</v>
      </c>
      <c r="G65" s="144">
        <v>2.69E-2</v>
      </c>
      <c r="H65" s="156">
        <v>-1</v>
      </c>
      <c r="I65" s="34">
        <v>1</v>
      </c>
      <c r="J65" s="11">
        <f>D38</f>
        <v>6.93</v>
      </c>
      <c r="K65" s="11">
        <f>E38</f>
        <v>37.770000000000003</v>
      </c>
      <c r="L65" s="11">
        <f>IF($L$64=$F$37,F38,G38)</f>
        <v>7.44</v>
      </c>
      <c r="M65" s="11">
        <f>J65+K65+L65</f>
        <v>52.14</v>
      </c>
      <c r="N65" s="11">
        <f>M65-$M$71</f>
        <v>1.3333333333335418E-2</v>
      </c>
      <c r="O65" s="116">
        <f>INDEX(D65:D72, MATCH($N$65, $H$65:$H$72, 1))</f>
        <v>-1.9400000000000001E-2</v>
      </c>
      <c r="P65" s="116">
        <f t="shared" ref="P65:R65" si="1">INDEX(E65:E72, MATCH($N$65, $H$65:$H$72, 1))</f>
        <v>7.7000000000000002E-3</v>
      </c>
      <c r="Q65" s="116">
        <f t="shared" si="1"/>
        <v>-1.0200000000000001E-2</v>
      </c>
      <c r="R65" s="128">
        <f t="shared" si="1"/>
        <v>-2.1899999999999999E-2</v>
      </c>
    </row>
    <row r="66" spans="2:18">
      <c r="B66" s="34">
        <v>1</v>
      </c>
      <c r="C66" s="117" t="s">
        <v>260</v>
      </c>
      <c r="D66" s="116">
        <v>1.7899999999999999E-2</v>
      </c>
      <c r="E66" s="116">
        <v>-1.1900000000000001E-2</v>
      </c>
      <c r="F66" s="116">
        <v>-7.7999999999999996E-3</v>
      </c>
      <c r="G66" s="128">
        <v>-1.8E-3</v>
      </c>
      <c r="H66" s="156">
        <v>-0.6</v>
      </c>
      <c r="I66" s="129">
        <v>2</v>
      </c>
      <c r="J66" s="118">
        <f t="shared" ref="J66:K66" si="2">D39</f>
        <v>6.93</v>
      </c>
      <c r="K66" s="118">
        <f t="shared" si="2"/>
        <v>36.93</v>
      </c>
      <c r="L66" s="118">
        <f t="shared" ref="L66:L70" si="3">IF($L$64=$F$37,F39,G39)</f>
        <v>7.4</v>
      </c>
      <c r="M66" s="118">
        <f t="shared" ref="M66:M70" si="4">J66+K66+L66</f>
        <v>51.26</v>
      </c>
      <c r="N66" s="118">
        <f t="shared" ref="N66:N70" si="5">M66-$M$71</f>
        <v>-0.86666666666666714</v>
      </c>
      <c r="O66" s="119">
        <f>INDEX(D74:D81, MATCH($N$66, $H$74:$H$81, 1))</f>
        <v>0.14810000000000001</v>
      </c>
      <c r="P66" s="119">
        <f t="shared" ref="P66:R66" si="6">INDEX(E74:E81, MATCH($N$66, $H$74:$H$81, 1))</f>
        <v>7.9000000000000008E-3</v>
      </c>
      <c r="Q66" s="119">
        <f t="shared" si="6"/>
        <v>-7.0900000000000005E-2</v>
      </c>
      <c r="R66" s="130">
        <f t="shared" si="6"/>
        <v>8.5099999999999995E-2</v>
      </c>
    </row>
    <row r="67" spans="2:18">
      <c r="B67" s="34">
        <v>1</v>
      </c>
      <c r="C67" s="117" t="s">
        <v>261</v>
      </c>
      <c r="D67" s="116">
        <v>5.9999999999999995E-4</v>
      </c>
      <c r="E67" s="116">
        <v>3.7000000000000002E-3</v>
      </c>
      <c r="F67" s="116">
        <v>8.6E-3</v>
      </c>
      <c r="G67" s="128">
        <v>1.29E-2</v>
      </c>
      <c r="H67" s="156">
        <v>-0.4</v>
      </c>
      <c r="I67" s="131">
        <v>3</v>
      </c>
      <c r="J67" s="120">
        <f t="shared" ref="J67:K67" si="7">D40</f>
        <v>6.98</v>
      </c>
      <c r="K67" s="120">
        <f t="shared" si="7"/>
        <v>37.97</v>
      </c>
      <c r="L67" s="120">
        <f t="shared" si="3"/>
        <v>7.47</v>
      </c>
      <c r="M67" s="120">
        <f t="shared" si="4"/>
        <v>52.42</v>
      </c>
      <c r="N67" s="120">
        <f t="shared" si="5"/>
        <v>0.29333333333333655</v>
      </c>
      <c r="O67" s="121">
        <f>INDEX(D83:D90, MATCH($N$67, $H$83:$H$90, 1))</f>
        <v>-2.06E-2</v>
      </c>
      <c r="P67" s="121">
        <f t="shared" ref="P67:R67" si="8">INDEX(E83:E90, MATCH($N$67, $H$83:$H$90, 1))</f>
        <v>-5.0200000000000002E-2</v>
      </c>
      <c r="Q67" s="121">
        <f t="shared" si="8"/>
        <v>8.6999999999999994E-3</v>
      </c>
      <c r="R67" s="132">
        <f t="shared" si="8"/>
        <v>-6.2100000000000002E-2</v>
      </c>
    </row>
    <row r="68" spans="2:18">
      <c r="B68" s="34">
        <v>1</v>
      </c>
      <c r="C68" s="117" t="s">
        <v>262</v>
      </c>
      <c r="D68" s="116">
        <v>-3.3300000000000003E-2</v>
      </c>
      <c r="E68" s="116">
        <v>3.2000000000000001E-2</v>
      </c>
      <c r="F68" s="116">
        <v>-8.9999999999999993E-3</v>
      </c>
      <c r="G68" s="128">
        <v>-1.03E-2</v>
      </c>
      <c r="H68" s="156">
        <v>-0.2</v>
      </c>
      <c r="I68" s="133">
        <v>4</v>
      </c>
      <c r="J68" s="126">
        <f t="shared" ref="J68:K68" si="9">D41</f>
        <v>6.93</v>
      </c>
      <c r="K68" s="126">
        <f t="shared" si="9"/>
        <v>37.97</v>
      </c>
      <c r="L68" s="126">
        <f t="shared" si="3"/>
        <v>7.53</v>
      </c>
      <c r="M68" s="126">
        <f t="shared" si="4"/>
        <v>52.43</v>
      </c>
      <c r="N68" s="126">
        <f t="shared" si="5"/>
        <v>0.30333333333333456</v>
      </c>
      <c r="O68" s="127">
        <f>INDEX(D92:D99, MATCH($N$68, $H$92:$H$99, 1))</f>
        <v>-4.5499999999999999E-2</v>
      </c>
      <c r="P68" s="127">
        <f t="shared" ref="P68:R68" si="10">INDEX(E92:E99, MATCH($N$68, $H$92:$H$99, 1))</f>
        <v>-1.6899999999999998E-2</v>
      </c>
      <c r="Q68" s="127">
        <f t="shared" si="10"/>
        <v>-2.1899999999999999E-2</v>
      </c>
      <c r="R68" s="134">
        <f t="shared" si="10"/>
        <v>-8.4199999999999997E-2</v>
      </c>
    </row>
    <row r="69" spans="2:18">
      <c r="B69" s="34">
        <v>1</v>
      </c>
      <c r="C69" s="11" t="s">
        <v>263</v>
      </c>
      <c r="D69" s="116">
        <v>-1.9400000000000001E-2</v>
      </c>
      <c r="E69" s="116">
        <v>7.7000000000000002E-3</v>
      </c>
      <c r="F69" s="116">
        <v>-1.0200000000000001E-2</v>
      </c>
      <c r="G69" s="128">
        <v>-2.1899999999999999E-2</v>
      </c>
      <c r="H69" s="156">
        <v>0</v>
      </c>
      <c r="I69" s="135">
        <v>5</v>
      </c>
      <c r="J69" s="122">
        <f t="shared" ref="J69:K69" si="11">D42</f>
        <v>6.89</v>
      </c>
      <c r="K69" s="122">
        <f t="shared" si="11"/>
        <v>37.799999999999997</v>
      </c>
      <c r="L69" s="122">
        <f t="shared" si="3"/>
        <v>7.42</v>
      </c>
      <c r="M69" s="122">
        <f t="shared" si="4"/>
        <v>52.11</v>
      </c>
      <c r="N69" s="122">
        <f t="shared" si="5"/>
        <v>-1.6666666666665719E-2</v>
      </c>
      <c r="O69" s="123">
        <f>INDEX(D101:D108, MATCH($N$69, $H$101:$H$108, 1))</f>
        <v>-3.8999999999999998E-3</v>
      </c>
      <c r="P69" s="123">
        <f t="shared" ref="P69:R69" si="12">INDEX(E101:E108, MATCH($N$69, $H$101:$H$108, 1))</f>
        <v>4.7800000000000002E-2</v>
      </c>
      <c r="Q69" s="123">
        <f t="shared" si="12"/>
        <v>-2.3099999999999999E-2</v>
      </c>
      <c r="R69" s="136">
        <f t="shared" si="12"/>
        <v>2.0799999999999999E-2</v>
      </c>
    </row>
    <row r="70" spans="2:18" ht="14.25" thickBot="1">
      <c r="B70" s="34">
        <v>1</v>
      </c>
      <c r="C70" s="11" t="s">
        <v>264</v>
      </c>
      <c r="D70" s="116">
        <v>-0.11600000000000001</v>
      </c>
      <c r="E70" s="116">
        <v>1.29E-2</v>
      </c>
      <c r="F70" s="116">
        <v>6.6900000000000001E-2</v>
      </c>
      <c r="G70" s="128">
        <v>-3.6200000000000003E-2</v>
      </c>
      <c r="H70" s="156">
        <v>0.2</v>
      </c>
      <c r="I70" s="139">
        <v>6</v>
      </c>
      <c r="J70" s="140">
        <f t="shared" ref="J70:K70" si="13">D43</f>
        <v>6.93</v>
      </c>
      <c r="K70" s="140">
        <f t="shared" si="13"/>
        <v>38</v>
      </c>
      <c r="L70" s="140">
        <f t="shared" si="3"/>
        <v>7.47</v>
      </c>
      <c r="M70" s="140">
        <f t="shared" si="4"/>
        <v>52.4</v>
      </c>
      <c r="N70" s="140">
        <f t="shared" si="5"/>
        <v>0.27333333333333343</v>
      </c>
      <c r="O70" s="141">
        <f>INDEX(D110:D117, MATCH($N$70, $H$110:$H$117, 1))</f>
        <v>-3.2000000000000002E-3</v>
      </c>
      <c r="P70" s="141">
        <f t="shared" ref="P70:R70" si="14">INDEX(E110:E117, MATCH($N$70, $H$110:$H$117, 1))</f>
        <v>-1.9199999999999998E-2</v>
      </c>
      <c r="Q70" s="141">
        <f t="shared" si="14"/>
        <v>-1.12E-2</v>
      </c>
      <c r="R70" s="142">
        <f t="shared" si="14"/>
        <v>-3.3599999999999998E-2</v>
      </c>
    </row>
    <row r="71" spans="2:18" ht="14.25" thickBot="1">
      <c r="B71" s="34">
        <v>1</v>
      </c>
      <c r="C71" s="11" t="s">
        <v>265</v>
      </c>
      <c r="D71" s="116">
        <v>-0.17130000000000001</v>
      </c>
      <c r="E71" s="116">
        <v>0.11840000000000001</v>
      </c>
      <c r="F71" s="116">
        <v>-1.9900000000000001E-2</v>
      </c>
      <c r="G71" s="128">
        <v>-7.2800000000000004E-2</v>
      </c>
      <c r="H71" s="156">
        <v>0.4</v>
      </c>
      <c r="L71" s="150" t="s">
        <v>307</v>
      </c>
      <c r="M71" s="151">
        <f>AVERAGE(M65:M70)</f>
        <v>52.126666666666665</v>
      </c>
    </row>
    <row r="72" spans="2:18">
      <c r="B72" s="34">
        <v>1</v>
      </c>
      <c r="C72" s="11" t="s">
        <v>266</v>
      </c>
      <c r="D72" s="116">
        <v>8.5300000000000001E-2</v>
      </c>
      <c r="E72" s="116">
        <v>-0.1265</v>
      </c>
      <c r="F72" s="116">
        <v>9.74E-2</v>
      </c>
      <c r="G72" s="128">
        <v>5.62E-2</v>
      </c>
      <c r="H72" s="155">
        <v>0.6</v>
      </c>
    </row>
    <row r="73" spans="2:18">
      <c r="B73" s="146"/>
      <c r="C73" s="147"/>
      <c r="D73" s="148"/>
      <c r="E73" s="148"/>
      <c r="F73" s="148"/>
      <c r="G73" s="149"/>
      <c r="H73" s="155"/>
    </row>
    <row r="74" spans="2:18">
      <c r="B74" s="129">
        <v>2</v>
      </c>
      <c r="C74" s="118" t="s">
        <v>259</v>
      </c>
      <c r="D74" s="119">
        <v>0.14810000000000001</v>
      </c>
      <c r="E74" s="119">
        <v>7.9000000000000008E-3</v>
      </c>
      <c r="F74" s="119">
        <v>-7.0900000000000005E-2</v>
      </c>
      <c r="G74" s="130">
        <v>8.5099999999999995E-2</v>
      </c>
      <c r="H74" s="156">
        <v>-1</v>
      </c>
    </row>
    <row r="75" spans="2:18">
      <c r="B75" s="129">
        <v>2</v>
      </c>
      <c r="C75" s="118" t="s">
        <v>260</v>
      </c>
      <c r="D75" s="119">
        <v>7.1499999999999994E-2</v>
      </c>
      <c r="E75" s="119">
        <v>2.5999999999999999E-2</v>
      </c>
      <c r="F75" s="119">
        <v>-6.4799999999999996E-2</v>
      </c>
      <c r="G75" s="130">
        <v>3.2599999999999997E-2</v>
      </c>
      <c r="H75" s="156">
        <v>-0.6</v>
      </c>
    </row>
    <row r="76" spans="2:18">
      <c r="B76" s="129">
        <v>2</v>
      </c>
      <c r="C76" s="118" t="s">
        <v>261</v>
      </c>
      <c r="D76" s="119">
        <v>4.1000000000000002E-2</v>
      </c>
      <c r="E76" s="119">
        <v>1.6899999999999998E-2</v>
      </c>
      <c r="F76" s="119">
        <v>6.9999999999999999E-4</v>
      </c>
      <c r="G76" s="130">
        <v>5.8599999999999999E-2</v>
      </c>
      <c r="H76" s="156">
        <v>-0.4</v>
      </c>
    </row>
    <row r="77" spans="2:18">
      <c r="B77" s="129">
        <v>2</v>
      </c>
      <c r="C77" s="118" t="s">
        <v>262</v>
      </c>
      <c r="D77" s="119">
        <v>-8.8000000000000005E-3</v>
      </c>
      <c r="E77" s="119">
        <v>2.4199999999999999E-2</v>
      </c>
      <c r="F77" s="119">
        <v>-8.9999999999999998E-4</v>
      </c>
      <c r="G77" s="130">
        <v>1.4500000000000001E-2</v>
      </c>
      <c r="H77" s="156">
        <v>-0.2</v>
      </c>
      <c r="K77" s="2"/>
    </row>
    <row r="78" spans="2:18">
      <c r="B78" s="129">
        <v>2</v>
      </c>
      <c r="C78" s="118" t="s">
        <v>263</v>
      </c>
      <c r="D78" s="119">
        <v>-2.3699999999999999E-2</v>
      </c>
      <c r="E78" s="119">
        <v>-8.3000000000000001E-3</v>
      </c>
      <c r="F78" s="119">
        <v>2.7199999999999998E-2</v>
      </c>
      <c r="G78" s="130">
        <v>-4.7999999999999996E-3</v>
      </c>
      <c r="H78" s="156">
        <v>0</v>
      </c>
      <c r="K78" s="2"/>
    </row>
    <row r="79" spans="2:18">
      <c r="B79" s="129">
        <v>2</v>
      </c>
      <c r="C79" s="118" t="s">
        <v>264</v>
      </c>
      <c r="D79" s="119">
        <v>-4.0300000000000002E-2</v>
      </c>
      <c r="E79" s="119">
        <v>-3.4599999999999999E-2</v>
      </c>
      <c r="F79" s="119">
        <v>1.4999999999999999E-2</v>
      </c>
      <c r="G79" s="130">
        <v>-5.9799999999999999E-2</v>
      </c>
      <c r="H79" s="156">
        <v>0.2</v>
      </c>
      <c r="K79" s="2"/>
    </row>
    <row r="80" spans="2:18">
      <c r="B80" s="129">
        <v>2</v>
      </c>
      <c r="C80" s="118" t="s">
        <v>265</v>
      </c>
      <c r="D80" s="119">
        <v>-8.1299999999999997E-2</v>
      </c>
      <c r="E80" s="119">
        <v>-4.9799999999999997E-2</v>
      </c>
      <c r="F80" s="119">
        <v>3.5999999999999999E-3</v>
      </c>
      <c r="G80" s="130">
        <v>-0.12740000000000001</v>
      </c>
      <c r="H80" s="156">
        <v>0.4</v>
      </c>
      <c r="K80" s="2"/>
    </row>
    <row r="81" spans="2:11">
      <c r="B81" s="129">
        <v>2</v>
      </c>
      <c r="C81" s="118" t="s">
        <v>266</v>
      </c>
      <c r="D81" s="119">
        <v>-8.2500000000000004E-2</v>
      </c>
      <c r="E81" s="119">
        <v>-4.0099999999999997E-2</v>
      </c>
      <c r="F81" s="119">
        <v>7.6399999999999996E-2</v>
      </c>
      <c r="G81" s="130">
        <v>-4.6199999999999998E-2</v>
      </c>
      <c r="H81" s="155">
        <v>0.6</v>
      </c>
      <c r="K81" s="2"/>
    </row>
    <row r="82" spans="2:11">
      <c r="B82" s="146"/>
      <c r="C82" s="147"/>
      <c r="D82" s="148"/>
      <c r="E82" s="148"/>
      <c r="F82" s="148"/>
      <c r="G82" s="149"/>
      <c r="H82" s="155"/>
      <c r="K82" s="2"/>
    </row>
    <row r="83" spans="2:11">
      <c r="B83" s="131">
        <v>3</v>
      </c>
      <c r="C83" s="120" t="s">
        <v>259</v>
      </c>
      <c r="D83" s="121">
        <v>9.9599999999999994E-2</v>
      </c>
      <c r="E83" s="121">
        <v>1.8100000000000002E-2</v>
      </c>
      <c r="F83" s="121">
        <v>-2.4299999999999999E-2</v>
      </c>
      <c r="G83" s="132">
        <v>9.3399999999999997E-2</v>
      </c>
      <c r="H83" s="156">
        <v>-1</v>
      </c>
      <c r="K83" s="2"/>
    </row>
    <row r="84" spans="2:11">
      <c r="B84" s="131">
        <v>3</v>
      </c>
      <c r="C84" s="120" t="s">
        <v>260</v>
      </c>
      <c r="D84" s="121">
        <v>5.8200000000000002E-2</v>
      </c>
      <c r="E84" s="121">
        <v>4.5999999999999999E-2</v>
      </c>
      <c r="F84" s="121">
        <v>-5.57E-2</v>
      </c>
      <c r="G84" s="132">
        <v>4.8500000000000001E-2</v>
      </c>
      <c r="H84" s="156">
        <v>-0.6</v>
      </c>
    </row>
    <row r="85" spans="2:11">
      <c r="B85" s="131">
        <v>3</v>
      </c>
      <c r="C85" s="120" t="s">
        <v>261</v>
      </c>
      <c r="D85" s="121">
        <v>3.8399999999999997E-2</v>
      </c>
      <c r="E85" s="121">
        <v>-8.6999999999999994E-3</v>
      </c>
      <c r="F85" s="121">
        <v>6.7999999999999996E-3</v>
      </c>
      <c r="G85" s="132">
        <v>3.6499999999999998E-2</v>
      </c>
      <c r="H85" s="156">
        <v>-0.4</v>
      </c>
    </row>
    <row r="86" spans="2:11">
      <c r="B86" s="131">
        <v>3</v>
      </c>
      <c r="C86" s="120" t="s">
        <v>262</v>
      </c>
      <c r="D86" s="121">
        <v>1.1000000000000001E-3</v>
      </c>
      <c r="E86" s="121">
        <v>1.66E-2</v>
      </c>
      <c r="F86" s="121">
        <v>1.78E-2</v>
      </c>
      <c r="G86" s="132">
        <v>3.5499999999999997E-2</v>
      </c>
      <c r="H86" s="156">
        <v>-0.2</v>
      </c>
    </row>
    <row r="87" spans="2:11">
      <c r="B87" s="131">
        <v>3</v>
      </c>
      <c r="C87" s="120" t="s">
        <v>263</v>
      </c>
      <c r="D87" s="121">
        <v>-2.41E-2</v>
      </c>
      <c r="E87" s="121">
        <v>1.55E-2</v>
      </c>
      <c r="F87" s="121">
        <v>-2.2000000000000001E-3</v>
      </c>
      <c r="G87" s="132">
        <v>-1.0800000000000001E-2</v>
      </c>
      <c r="H87" s="156">
        <v>0</v>
      </c>
    </row>
    <row r="88" spans="2:11">
      <c r="B88" s="131">
        <v>3</v>
      </c>
      <c r="C88" s="120" t="s">
        <v>264</v>
      </c>
      <c r="D88" s="121">
        <v>-2.06E-2</v>
      </c>
      <c r="E88" s="121">
        <v>-5.0200000000000002E-2</v>
      </c>
      <c r="F88" s="121">
        <v>8.6999999999999994E-3</v>
      </c>
      <c r="G88" s="132">
        <v>-6.2100000000000002E-2</v>
      </c>
      <c r="H88" s="156">
        <v>0.2</v>
      </c>
    </row>
    <row r="89" spans="2:11">
      <c r="B89" s="131">
        <v>3</v>
      </c>
      <c r="C89" s="120" t="s">
        <v>265</v>
      </c>
      <c r="D89" s="121">
        <v>-3.2899999999999999E-2</v>
      </c>
      <c r="E89" s="121">
        <v>-2.06E-2</v>
      </c>
      <c r="F89" s="121">
        <v>-4.1000000000000003E-3</v>
      </c>
      <c r="G89" s="132">
        <v>-5.7599999999999998E-2</v>
      </c>
      <c r="H89" s="156">
        <v>0.4</v>
      </c>
    </row>
    <row r="90" spans="2:11">
      <c r="B90" s="131">
        <v>3</v>
      </c>
      <c r="C90" s="120" t="s">
        <v>266</v>
      </c>
      <c r="D90" s="121">
        <v>-5.3199999999999997E-2</v>
      </c>
      <c r="E90" s="121">
        <v>2.3999999999999998E-3</v>
      </c>
      <c r="F90" s="121">
        <v>-2.98E-2</v>
      </c>
      <c r="G90" s="132">
        <v>-8.0600000000000005E-2</v>
      </c>
      <c r="H90" s="155">
        <v>0.6</v>
      </c>
    </row>
    <row r="91" spans="2:11">
      <c r="B91" s="146"/>
      <c r="C91" s="147"/>
      <c r="D91" s="148"/>
      <c r="E91" s="148"/>
      <c r="F91" s="148"/>
      <c r="G91" s="149"/>
      <c r="H91" s="155"/>
    </row>
    <row r="92" spans="2:11">
      <c r="B92" s="133">
        <v>4</v>
      </c>
      <c r="C92" s="126" t="s">
        <v>259</v>
      </c>
      <c r="D92" s="127">
        <v>0.14849999999999999</v>
      </c>
      <c r="E92" s="127">
        <v>0.11070000000000001</v>
      </c>
      <c r="F92" s="127">
        <v>-9.5000000000000001E-2</v>
      </c>
      <c r="G92" s="134">
        <v>0.16420000000000001</v>
      </c>
      <c r="H92" s="156">
        <v>-1</v>
      </c>
    </row>
    <row r="93" spans="2:11">
      <c r="B93" s="133">
        <v>4</v>
      </c>
      <c r="C93" s="126" t="s">
        <v>260</v>
      </c>
      <c r="D93" s="127">
        <v>6.3600000000000004E-2</v>
      </c>
      <c r="E93" s="127">
        <v>2.3099999999999999E-2</v>
      </c>
      <c r="F93" s="127">
        <v>-4.7E-2</v>
      </c>
      <c r="G93" s="134">
        <v>3.9699999999999999E-2</v>
      </c>
      <c r="H93" s="156">
        <v>-0.6</v>
      </c>
    </row>
    <row r="94" spans="2:11">
      <c r="B94" s="133">
        <v>4</v>
      </c>
      <c r="C94" s="126" t="s">
        <v>261</v>
      </c>
      <c r="D94" s="127">
        <v>3.85E-2</v>
      </c>
      <c r="E94" s="127">
        <v>-1.8499999999999999E-2</v>
      </c>
      <c r="F94" s="127">
        <v>5.3100000000000001E-2</v>
      </c>
      <c r="G94" s="134">
        <v>7.3099999999999998E-2</v>
      </c>
      <c r="H94" s="156">
        <v>-0.4</v>
      </c>
    </row>
    <row r="95" spans="2:11">
      <c r="B95" s="133">
        <v>4</v>
      </c>
      <c r="C95" s="126" t="s">
        <v>262</v>
      </c>
      <c r="D95" s="127">
        <v>3.49E-2</v>
      </c>
      <c r="E95" s="127">
        <v>6.8999999999999999E-3</v>
      </c>
      <c r="F95" s="127">
        <v>1.15E-2</v>
      </c>
      <c r="G95" s="134">
        <v>5.33E-2</v>
      </c>
      <c r="H95" s="156">
        <v>-0.2</v>
      </c>
    </row>
    <row r="96" spans="2:11">
      <c r="B96" s="133">
        <v>4</v>
      </c>
      <c r="C96" s="126" t="s">
        <v>263</v>
      </c>
      <c r="D96" s="127">
        <v>-5.8599999999999999E-2</v>
      </c>
      <c r="E96" s="127">
        <v>1.1000000000000001E-3</v>
      </c>
      <c r="F96" s="127">
        <v>2.1000000000000001E-2</v>
      </c>
      <c r="G96" s="134">
        <v>-3.6499999999999998E-2</v>
      </c>
      <c r="H96" s="156">
        <v>0</v>
      </c>
    </row>
    <row r="97" spans="2:8">
      <c r="B97" s="133">
        <v>4</v>
      </c>
      <c r="C97" s="126" t="s">
        <v>264</v>
      </c>
      <c r="D97" s="127">
        <v>-4.5499999999999999E-2</v>
      </c>
      <c r="E97" s="127">
        <v>-1.6899999999999998E-2</v>
      </c>
      <c r="F97" s="127">
        <v>-2.1899999999999999E-2</v>
      </c>
      <c r="G97" s="134">
        <v>-8.4199999999999997E-2</v>
      </c>
      <c r="H97" s="156">
        <v>0.2</v>
      </c>
    </row>
    <row r="98" spans="2:8">
      <c r="B98" s="133">
        <v>4</v>
      </c>
      <c r="C98" s="126" t="s">
        <v>265</v>
      </c>
      <c r="D98" s="127">
        <v>-3.6200000000000003E-2</v>
      </c>
      <c r="E98" s="127">
        <v>-4.5199999999999997E-2</v>
      </c>
      <c r="F98" s="127">
        <v>8.8000000000000005E-3</v>
      </c>
      <c r="G98" s="134">
        <v>-7.2599999999999998E-2</v>
      </c>
      <c r="H98" s="156">
        <v>0.4</v>
      </c>
    </row>
    <row r="99" spans="2:8">
      <c r="B99" s="133">
        <v>4</v>
      </c>
      <c r="C99" s="126" t="s">
        <v>266</v>
      </c>
      <c r="D99" s="127">
        <v>-2.0299999999999999E-2</v>
      </c>
      <c r="E99" s="127">
        <v>5.33E-2</v>
      </c>
      <c r="F99" s="127">
        <v>-0.12130000000000001</v>
      </c>
      <c r="G99" s="134">
        <v>-8.8200000000000001E-2</v>
      </c>
      <c r="H99" s="155">
        <v>0.6</v>
      </c>
    </row>
    <row r="100" spans="2:8">
      <c r="B100" s="146"/>
      <c r="C100" s="147"/>
      <c r="D100" s="148"/>
      <c r="E100" s="148"/>
      <c r="F100" s="148"/>
      <c r="G100" s="149"/>
      <c r="H100" s="155"/>
    </row>
    <row r="101" spans="2:8">
      <c r="B101" s="135">
        <v>5</v>
      </c>
      <c r="C101" s="122" t="s">
        <v>259</v>
      </c>
      <c r="D101" s="123">
        <v>0.13789999999999999</v>
      </c>
      <c r="E101" s="123">
        <v>1.5299999999999999E-2</v>
      </c>
      <c r="F101" s="123">
        <v>-4.6699999999999998E-2</v>
      </c>
      <c r="G101" s="136">
        <v>0.1065</v>
      </c>
      <c r="H101" s="156">
        <v>-1</v>
      </c>
    </row>
    <row r="102" spans="2:8">
      <c r="B102" s="135">
        <v>5</v>
      </c>
      <c r="C102" s="122" t="s">
        <v>260</v>
      </c>
      <c r="D102" s="123">
        <v>1.7000000000000001E-2</v>
      </c>
      <c r="E102" s="123">
        <v>2.6599999999999999E-2</v>
      </c>
      <c r="F102" s="123">
        <v>4.4200000000000003E-2</v>
      </c>
      <c r="G102" s="136">
        <v>8.7900000000000006E-2</v>
      </c>
      <c r="H102" s="156">
        <v>-0.6</v>
      </c>
    </row>
    <row r="103" spans="2:8">
      <c r="B103" s="135">
        <v>5</v>
      </c>
      <c r="C103" s="122" t="s">
        <v>261</v>
      </c>
      <c r="D103" s="123">
        <v>2.8799999999999999E-2</v>
      </c>
      <c r="E103" s="123">
        <v>-6.2899999999999998E-2</v>
      </c>
      <c r="F103" s="123">
        <v>4.7100000000000003E-2</v>
      </c>
      <c r="G103" s="136">
        <v>1.2999999999999999E-2</v>
      </c>
      <c r="H103" s="156">
        <v>-0.4</v>
      </c>
    </row>
    <row r="104" spans="2:8">
      <c r="B104" s="135">
        <v>5</v>
      </c>
      <c r="C104" s="122" t="s">
        <v>262</v>
      </c>
      <c r="D104" s="123">
        <v>-3.8999999999999998E-3</v>
      </c>
      <c r="E104" s="123">
        <v>4.7800000000000002E-2</v>
      </c>
      <c r="F104" s="123">
        <v>-2.3099999999999999E-2</v>
      </c>
      <c r="G104" s="136">
        <v>2.0799999999999999E-2</v>
      </c>
      <c r="H104" s="156">
        <v>-0.2</v>
      </c>
    </row>
    <row r="105" spans="2:8">
      <c r="B105" s="135">
        <v>5</v>
      </c>
      <c r="C105" s="122" t="s">
        <v>263</v>
      </c>
      <c r="D105" s="123">
        <v>-2.6700000000000002E-2</v>
      </c>
      <c r="E105" s="123">
        <v>-1.2999999999999999E-2</v>
      </c>
      <c r="F105" s="123">
        <v>1.77E-2</v>
      </c>
      <c r="G105" s="136">
        <v>-2.1999999999999999E-2</v>
      </c>
      <c r="H105" s="156">
        <v>0</v>
      </c>
    </row>
    <row r="106" spans="2:8">
      <c r="B106" s="135">
        <v>5</v>
      </c>
      <c r="C106" s="122" t="s">
        <v>264</v>
      </c>
      <c r="D106" s="123">
        <v>-2.46E-2</v>
      </c>
      <c r="E106" s="123">
        <v>1.43E-2</v>
      </c>
      <c r="F106" s="123">
        <v>-9.4999999999999998E-3</v>
      </c>
      <c r="G106" s="136">
        <v>-1.9900000000000001E-2</v>
      </c>
      <c r="H106" s="156">
        <v>0.2</v>
      </c>
    </row>
    <row r="107" spans="2:8">
      <c r="B107" s="135">
        <v>5</v>
      </c>
      <c r="C107" s="122" t="s">
        <v>265</v>
      </c>
      <c r="D107" s="123">
        <v>4.1099999999999998E-2</v>
      </c>
      <c r="E107" s="123">
        <v>-7.1999999999999998E-3</v>
      </c>
      <c r="F107" s="123">
        <v>-1.15E-2</v>
      </c>
      <c r="G107" s="136">
        <v>2.2499999999999999E-2</v>
      </c>
      <c r="H107" s="156">
        <v>0.4</v>
      </c>
    </row>
    <row r="108" spans="2:8">
      <c r="B108" s="135">
        <v>5</v>
      </c>
      <c r="C108" s="122" t="s">
        <v>266</v>
      </c>
      <c r="D108" s="123">
        <v>-1.84E-2</v>
      </c>
      <c r="E108" s="123">
        <v>-5.6899999999999999E-2</v>
      </c>
      <c r="F108" s="123">
        <v>-7.1400000000000005E-2</v>
      </c>
      <c r="G108" s="136">
        <v>-0.14680000000000001</v>
      </c>
      <c r="H108" s="155">
        <v>0.6</v>
      </c>
    </row>
    <row r="109" spans="2:8">
      <c r="B109" s="146"/>
      <c r="C109" s="147"/>
      <c r="D109" s="148"/>
      <c r="E109" s="148"/>
      <c r="F109" s="148"/>
      <c r="G109" s="149"/>
      <c r="H109" s="155"/>
    </row>
    <row r="110" spans="2:8">
      <c r="B110" s="137">
        <v>6</v>
      </c>
      <c r="C110" s="124" t="s">
        <v>259</v>
      </c>
      <c r="D110" s="125">
        <v>4.99E-2</v>
      </c>
      <c r="E110" s="125">
        <v>-0.03</v>
      </c>
      <c r="F110" s="125">
        <v>0.19370000000000001</v>
      </c>
      <c r="G110" s="138">
        <v>0.21360000000000001</v>
      </c>
      <c r="H110" s="156">
        <v>-1</v>
      </c>
    </row>
    <row r="111" spans="2:8">
      <c r="B111" s="137">
        <v>6</v>
      </c>
      <c r="C111" s="124" t="s">
        <v>260</v>
      </c>
      <c r="D111" s="125">
        <v>5.4999999999999997E-3</v>
      </c>
      <c r="E111" s="125">
        <v>8.6999999999999994E-3</v>
      </c>
      <c r="F111" s="125">
        <v>0.1027</v>
      </c>
      <c r="G111" s="138">
        <v>0.1169</v>
      </c>
      <c r="H111" s="156">
        <v>-0.6</v>
      </c>
    </row>
    <row r="112" spans="2:8">
      <c r="B112" s="137">
        <v>6</v>
      </c>
      <c r="C112" s="124" t="s">
        <v>261</v>
      </c>
      <c r="D112" s="125">
        <v>4.3E-3</v>
      </c>
      <c r="E112" s="125">
        <v>3.7000000000000002E-3</v>
      </c>
      <c r="F112" s="125">
        <v>4.3200000000000002E-2</v>
      </c>
      <c r="G112" s="138">
        <v>5.1299999999999998E-2</v>
      </c>
      <c r="H112" s="156">
        <v>-0.4</v>
      </c>
    </row>
    <row r="113" spans="2:8">
      <c r="B113" s="137">
        <v>6</v>
      </c>
      <c r="C113" s="124" t="s">
        <v>262</v>
      </c>
      <c r="D113" s="125">
        <v>1.26E-2</v>
      </c>
      <c r="E113" s="125">
        <v>5.8599999999999999E-2</v>
      </c>
      <c r="F113" s="125">
        <v>4.6600000000000003E-2</v>
      </c>
      <c r="G113" s="138">
        <v>0.1178</v>
      </c>
      <c r="H113" s="156">
        <v>-0.2</v>
      </c>
    </row>
    <row r="114" spans="2:8">
      <c r="B114" s="137">
        <v>6</v>
      </c>
      <c r="C114" s="124" t="s">
        <v>263</v>
      </c>
      <c r="D114" s="125">
        <v>-1.7999999999999999E-2</v>
      </c>
      <c r="E114" s="125">
        <v>-3.2800000000000003E-2</v>
      </c>
      <c r="F114" s="125">
        <v>-8.8099999999999998E-2</v>
      </c>
      <c r="G114" s="138">
        <v>-0.1389</v>
      </c>
      <c r="H114" s="156">
        <v>0</v>
      </c>
    </row>
    <row r="115" spans="2:8">
      <c r="B115" s="137">
        <v>6</v>
      </c>
      <c r="C115" s="124" t="s">
        <v>264</v>
      </c>
      <c r="D115" s="125">
        <v>-3.2000000000000002E-3</v>
      </c>
      <c r="E115" s="125">
        <v>-1.9199999999999998E-2</v>
      </c>
      <c r="F115" s="125">
        <v>-1.12E-2</v>
      </c>
      <c r="G115" s="138">
        <v>-3.3599999999999998E-2</v>
      </c>
      <c r="H115" s="156">
        <v>0.2</v>
      </c>
    </row>
    <row r="116" spans="2:8">
      <c r="B116" s="137">
        <v>6</v>
      </c>
      <c r="C116" s="124" t="s">
        <v>265</v>
      </c>
      <c r="D116" s="125">
        <v>-1.7299999999999999E-2</v>
      </c>
      <c r="E116" s="125">
        <v>8.0000000000000004E-4</v>
      </c>
      <c r="F116" s="125">
        <v>-0.1802</v>
      </c>
      <c r="G116" s="138">
        <v>-0.19670000000000001</v>
      </c>
      <c r="H116" s="156">
        <v>0.4</v>
      </c>
    </row>
    <row r="117" spans="2:8" ht="14.25" thickBot="1">
      <c r="B117" s="139">
        <v>6</v>
      </c>
      <c r="C117" s="140" t="s">
        <v>266</v>
      </c>
      <c r="D117" s="141">
        <v>8.8000000000000005E-3</v>
      </c>
      <c r="E117" s="141">
        <v>-1.8100000000000002E-2</v>
      </c>
      <c r="F117" s="141">
        <v>3.32E-2</v>
      </c>
      <c r="G117" s="142">
        <v>2.3900000000000001E-2</v>
      </c>
      <c r="H117" s="155">
        <v>0.6</v>
      </c>
    </row>
  </sheetData>
  <phoneticPr fontId="1"/>
  <dataValidations count="1">
    <dataValidation type="date" allowBlank="1" showInputMessage="1" showErrorMessage="1" sqref="B2" xr:uid="{564865AC-D863-4389-855A-D30C2EAA485C}">
      <formula1>45658</formula1>
      <formula2>46387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61093E8-E9EB-4833-9F8C-D8FDFABFE7DE}">
          <x14:formula1>
            <xm:f>非表示!$D$2:$D$25</xm:f>
          </x14:formula1>
          <xm:sqref>C4</xm:sqref>
        </x14:dataValidation>
        <x14:dataValidation type="list" allowBlank="1" showInputMessage="1" showErrorMessage="1" xr:uid="{A5CA123C-15A7-4897-8A05-E1B08B32B453}">
          <x14:formula1>
            <xm:f>非表示!$B$2:$B$13</xm:f>
          </x14:formula1>
          <xm:sqref>C5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H28"/>
  <sheetViews>
    <sheetView workbookViewId="0">
      <selection activeCell="E20" sqref="E20"/>
    </sheetView>
  </sheetViews>
  <sheetFormatPr defaultRowHeight="13.5"/>
  <cols>
    <col min="1" max="1" width="2.875" style="1" customWidth="1"/>
    <col min="2" max="2" width="16.75" style="1" bestFit="1" customWidth="1"/>
    <col min="3" max="8" width="15" style="1" bestFit="1" customWidth="1"/>
    <col min="9" max="16384" width="9" style="1"/>
  </cols>
  <sheetData>
    <row r="2" spans="1:8" ht="14.25" thickBot="1">
      <c r="A2" s="1" t="s">
        <v>0</v>
      </c>
      <c r="D2" s="1" t="s">
        <v>65</v>
      </c>
    </row>
    <row r="3" spans="1:8" ht="14.25" thickBot="1">
      <c r="B3" s="5" t="s">
        <v>1</v>
      </c>
      <c r="C3" s="8">
        <v>46138</v>
      </c>
      <c r="D3" s="10" t="str">
        <f>E3&amp;E4&amp;E5</f>
        <v>20260426OMR05</v>
      </c>
      <c r="E3" s="9" t="str">
        <f>TEXT(C3,"yyyymmdd")</f>
        <v>20260426</v>
      </c>
    </row>
    <row r="4" spans="1:8">
      <c r="B4" s="6" t="s">
        <v>3</v>
      </c>
      <c r="C4" s="3" t="s">
        <v>47</v>
      </c>
      <c r="E4" s="1" t="str">
        <f>VLOOKUP(C4,非表示!D:E,2,FALSE)</f>
        <v>OMR</v>
      </c>
    </row>
    <row r="5" spans="1:8" ht="14.25" thickBot="1">
      <c r="B5" s="7" t="s">
        <v>2</v>
      </c>
      <c r="C5" s="4" t="s">
        <v>8</v>
      </c>
      <c r="E5" s="1" t="str">
        <f>C5</f>
        <v>05</v>
      </c>
    </row>
    <row r="7" spans="1:8" ht="14.25" thickBot="1">
      <c r="A7" s="1" t="s">
        <v>74</v>
      </c>
    </row>
    <row r="8" spans="1:8">
      <c r="B8" s="27" t="s">
        <v>66</v>
      </c>
      <c r="C8" s="21" t="str">
        <f>$D$3</f>
        <v>20260426OMR05</v>
      </c>
      <c r="D8" s="17" t="str">
        <f t="shared" ref="D8:H8" si="0">$D$3</f>
        <v>20260426OMR05</v>
      </c>
      <c r="E8" s="17" t="str">
        <f t="shared" si="0"/>
        <v>20260426OMR05</v>
      </c>
      <c r="F8" s="17" t="str">
        <f t="shared" si="0"/>
        <v>20260426OMR05</v>
      </c>
      <c r="G8" s="17" t="str">
        <f t="shared" si="0"/>
        <v>20260426OMR05</v>
      </c>
      <c r="H8" s="18" t="str">
        <f t="shared" si="0"/>
        <v>20260426OMR05</v>
      </c>
    </row>
    <row r="9" spans="1:8">
      <c r="B9" s="28" t="s">
        <v>67</v>
      </c>
      <c r="C9" s="22">
        <v>1</v>
      </c>
      <c r="D9" s="19">
        <v>2</v>
      </c>
      <c r="E9" s="19">
        <v>3</v>
      </c>
      <c r="F9" s="19">
        <v>4</v>
      </c>
      <c r="G9" s="19">
        <v>5</v>
      </c>
      <c r="H9" s="20">
        <v>6</v>
      </c>
    </row>
    <row r="10" spans="1:8">
      <c r="B10" s="28" t="s">
        <v>68</v>
      </c>
      <c r="C10" s="22">
        <f>C22</f>
        <v>3584</v>
      </c>
      <c r="D10" s="19">
        <f t="shared" ref="D10:H10" si="1">D22</f>
        <v>4232</v>
      </c>
      <c r="E10" s="19">
        <f t="shared" si="1"/>
        <v>4857</v>
      </c>
      <c r="F10" s="19">
        <f t="shared" si="1"/>
        <v>5090</v>
      </c>
      <c r="G10" s="19">
        <f t="shared" si="1"/>
        <v>4979</v>
      </c>
      <c r="H10" s="20">
        <f t="shared" si="1"/>
        <v>3906</v>
      </c>
    </row>
    <row r="11" spans="1:8">
      <c r="B11" s="28" t="s">
        <v>69</v>
      </c>
      <c r="C11" s="22">
        <f>C24</f>
        <v>6.93</v>
      </c>
      <c r="D11" s="19">
        <f t="shared" ref="D11:H11" si="2">D24</f>
        <v>6.93</v>
      </c>
      <c r="E11" s="19">
        <f t="shared" si="2"/>
        <v>6.98</v>
      </c>
      <c r="F11" s="19">
        <f t="shared" si="2"/>
        <v>6.93</v>
      </c>
      <c r="G11" s="19">
        <f t="shared" si="2"/>
        <v>6.89</v>
      </c>
      <c r="H11" s="20">
        <f t="shared" si="2"/>
        <v>6.93</v>
      </c>
    </row>
    <row r="12" spans="1:8">
      <c r="B12" s="28" t="s">
        <v>70</v>
      </c>
      <c r="C12" s="22">
        <f>VALUE(SUBSTITUTE(C25, "F", "-0"))</f>
        <v>37.770000000000003</v>
      </c>
      <c r="D12" s="19">
        <f t="shared" ref="D12:H12" si="3">VALUE(SUBSTITUTE(D25, "F", "-0"))</f>
        <v>36.93</v>
      </c>
      <c r="E12" s="19">
        <f t="shared" si="3"/>
        <v>37.97</v>
      </c>
      <c r="F12" s="19">
        <f t="shared" si="3"/>
        <v>37.97</v>
      </c>
      <c r="G12" s="19">
        <f t="shared" si="3"/>
        <v>37.799999999999997</v>
      </c>
      <c r="H12" s="20">
        <f t="shared" si="3"/>
        <v>38</v>
      </c>
    </row>
    <row r="13" spans="1:8">
      <c r="B13" s="28" t="s">
        <v>71</v>
      </c>
      <c r="C13" s="22">
        <f t="shared" ref="C13:H14" si="4">C26</f>
        <v>6.59</v>
      </c>
      <c r="D13" s="19">
        <f t="shared" si="4"/>
        <v>6.23</v>
      </c>
      <c r="E13" s="19">
        <f t="shared" si="4"/>
        <v>6.47</v>
      </c>
      <c r="F13" s="19">
        <f t="shared" si="4"/>
        <v>6.5</v>
      </c>
      <c r="G13" s="19">
        <f t="shared" si="4"/>
        <v>6.67</v>
      </c>
      <c r="H13" s="20">
        <f t="shared" si="4"/>
        <v>6.87</v>
      </c>
    </row>
    <row r="14" spans="1:8">
      <c r="B14" s="28" t="s">
        <v>72</v>
      </c>
      <c r="C14" s="22">
        <f t="shared" si="4"/>
        <v>7.44</v>
      </c>
      <c r="D14" s="19">
        <f t="shared" si="4"/>
        <v>7.4</v>
      </c>
      <c r="E14" s="19">
        <f t="shared" si="4"/>
        <v>7.47</v>
      </c>
      <c r="F14" s="19">
        <f t="shared" si="4"/>
        <v>7.53</v>
      </c>
      <c r="G14" s="19">
        <f t="shared" si="4"/>
        <v>7.42</v>
      </c>
      <c r="H14" s="20">
        <f t="shared" si="4"/>
        <v>7.47</v>
      </c>
    </row>
    <row r="15" spans="1:8" ht="14.25" thickBot="1">
      <c r="B15" s="29" t="s">
        <v>73</v>
      </c>
      <c r="C15" s="23">
        <f>IF(LEFT(C28,1)="F", -VALUE(MID(C28,2,10)), VALUE(C28))</f>
        <v>0.16</v>
      </c>
      <c r="D15" s="23">
        <f t="shared" ref="D15:H15" si="5">IF(LEFT(D28,1)="F", -VALUE(MID(D28,2,10)), VALUE(D28))</f>
        <v>0.21</v>
      </c>
      <c r="E15" s="23">
        <f t="shared" si="5"/>
        <v>0.09</v>
      </c>
      <c r="F15" s="23">
        <f t="shared" si="5"/>
        <v>0.04</v>
      </c>
      <c r="G15" s="23">
        <f t="shared" si="5"/>
        <v>-0.02</v>
      </c>
      <c r="H15" s="23">
        <f t="shared" si="5"/>
        <v>0.1</v>
      </c>
    </row>
    <row r="21" spans="1:8" ht="14.25" thickBot="1">
      <c r="A21" s="1" t="s">
        <v>75</v>
      </c>
    </row>
    <row r="22" spans="1:8">
      <c r="B22" s="5" t="s">
        <v>82</v>
      </c>
      <c r="C22" s="24">
        <v>3584</v>
      </c>
      <c r="D22" s="12">
        <v>4232</v>
      </c>
      <c r="E22" s="12">
        <v>4857</v>
      </c>
      <c r="F22" s="12">
        <v>5090</v>
      </c>
      <c r="G22" s="12">
        <v>4979</v>
      </c>
      <c r="H22" s="13">
        <v>3906</v>
      </c>
    </row>
    <row r="23" spans="1:8">
      <c r="B23" s="6" t="s">
        <v>76</v>
      </c>
      <c r="C23" s="25">
        <v>1</v>
      </c>
      <c r="D23" s="11">
        <v>2</v>
      </c>
      <c r="E23" s="11">
        <v>3</v>
      </c>
      <c r="F23" s="11">
        <v>4</v>
      </c>
      <c r="G23" s="11">
        <v>5</v>
      </c>
      <c r="H23" s="14">
        <v>6</v>
      </c>
    </row>
    <row r="24" spans="1:8">
      <c r="B24" s="6" t="s">
        <v>77</v>
      </c>
      <c r="C24" s="25">
        <v>6.93</v>
      </c>
      <c r="D24" s="11">
        <v>6.93</v>
      </c>
      <c r="E24" s="11">
        <v>6.98</v>
      </c>
      <c r="F24" s="11">
        <v>6.93</v>
      </c>
      <c r="G24" s="11">
        <v>6.89</v>
      </c>
      <c r="H24" s="14">
        <v>6.93</v>
      </c>
    </row>
    <row r="25" spans="1:8">
      <c r="B25" s="6" t="s">
        <v>79</v>
      </c>
      <c r="C25" s="25">
        <v>37.770000000000003</v>
      </c>
      <c r="D25" s="11">
        <v>36.93</v>
      </c>
      <c r="E25" s="11">
        <v>37.97</v>
      </c>
      <c r="F25" s="11">
        <v>37.97</v>
      </c>
      <c r="G25" s="11">
        <v>37.799999999999997</v>
      </c>
      <c r="H25" s="14">
        <v>38</v>
      </c>
    </row>
    <row r="26" spans="1:8">
      <c r="B26" s="6" t="s">
        <v>80</v>
      </c>
      <c r="C26" s="25">
        <v>6.59</v>
      </c>
      <c r="D26" s="11">
        <v>6.23</v>
      </c>
      <c r="E26" s="11">
        <v>6.47</v>
      </c>
      <c r="F26" s="11">
        <v>6.5</v>
      </c>
      <c r="G26" s="11">
        <v>6.67</v>
      </c>
      <c r="H26" s="14">
        <v>6.87</v>
      </c>
    </row>
    <row r="27" spans="1:8">
      <c r="B27" s="6" t="s">
        <v>81</v>
      </c>
      <c r="C27" s="25">
        <v>7.44</v>
      </c>
      <c r="D27" s="11">
        <v>7.4</v>
      </c>
      <c r="E27" s="11">
        <v>7.47</v>
      </c>
      <c r="F27" s="11">
        <v>7.53</v>
      </c>
      <c r="G27" s="11">
        <v>7.42</v>
      </c>
      <c r="H27" s="14">
        <v>7.47</v>
      </c>
    </row>
    <row r="28" spans="1:8" ht="14.25" thickBot="1">
      <c r="B28" s="7" t="s">
        <v>78</v>
      </c>
      <c r="C28" s="26">
        <v>0.16</v>
      </c>
      <c r="D28" s="15">
        <v>0.21</v>
      </c>
      <c r="E28" s="15">
        <v>0.09</v>
      </c>
      <c r="F28" s="15">
        <v>0.04</v>
      </c>
      <c r="G28" s="15" t="s">
        <v>313</v>
      </c>
      <c r="H28" s="16">
        <v>0.1</v>
      </c>
    </row>
  </sheetData>
  <phoneticPr fontId="1"/>
  <dataValidations count="1">
    <dataValidation type="date" allowBlank="1" showInputMessage="1" showErrorMessage="1" sqref="B2" xr:uid="{07FF8823-BC90-4EAE-87AF-AD762147B0A0}">
      <formula1>45658</formula1>
      <formula2>46387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545DF0D-0632-4E4B-819C-305A3D72570D}">
          <x14:formula1>
            <xm:f>非表示!$B$2:$B$13</xm:f>
          </x14:formula1>
          <xm:sqref>C5</xm:sqref>
        </x14:dataValidation>
        <x14:dataValidation type="list" allowBlank="1" showInputMessage="1" showErrorMessage="1" xr:uid="{8C44A9A4-DE89-4DF5-980A-3685B4832665}">
          <x14:formula1>
            <xm:f>非表示!$D$2:$D$25</xm:f>
          </x14:formula1>
          <xm:sqref>C4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B7868-BF53-48B7-AA4C-C53E938541AA}">
  <sheetPr codeName="Sheet2"/>
  <dimension ref="B1:O25"/>
  <sheetViews>
    <sheetView workbookViewId="0">
      <selection activeCell="M15" sqref="M15"/>
    </sheetView>
  </sheetViews>
  <sheetFormatPr defaultRowHeight="13.5"/>
  <cols>
    <col min="1" max="1" width="9" style="1"/>
    <col min="2" max="2" width="11.625" style="1" bestFit="1" customWidth="1"/>
    <col min="3" max="8" width="9" style="1"/>
    <col min="9" max="9" width="17.25" style="1" bestFit="1" customWidth="1"/>
    <col min="10" max="10" width="10.5" style="1" bestFit="1" customWidth="1"/>
    <col min="11" max="11" width="8.5" style="1" bestFit="1" customWidth="1"/>
    <col min="12" max="16384" width="9" style="1"/>
  </cols>
  <sheetData>
    <row r="1" spans="2:15">
      <c r="B1" s="1" t="s">
        <v>2</v>
      </c>
      <c r="D1" s="1" t="s">
        <v>64</v>
      </c>
      <c r="G1" s="1" t="s">
        <v>267</v>
      </c>
    </row>
    <row r="2" spans="2:15">
      <c r="B2" s="2" t="s">
        <v>4</v>
      </c>
      <c r="D2" s="1" t="s">
        <v>17</v>
      </c>
      <c r="E2" s="1" t="s">
        <v>16</v>
      </c>
      <c r="G2" s="1" t="str">
        <f>_xlfn.XLOOKUP(H2,$E$2:$E$25,$D$2:$D$25)</f>
        <v>桐生</v>
      </c>
      <c r="H2" s="1" t="s">
        <v>36</v>
      </c>
      <c r="I2" s="1" t="s">
        <v>295</v>
      </c>
      <c r="J2" s="1" t="s">
        <v>296</v>
      </c>
      <c r="K2" s="1" t="s">
        <v>80</v>
      </c>
      <c r="O2" s="1" t="s">
        <v>268</v>
      </c>
    </row>
    <row r="3" spans="2:15">
      <c r="B3" s="2" t="s">
        <v>5</v>
      </c>
      <c r="D3" s="1" t="s">
        <v>19</v>
      </c>
      <c r="E3" s="1" t="s">
        <v>18</v>
      </c>
      <c r="G3" s="1" t="str">
        <f t="shared" ref="G3:G25" si="0">_xlfn.XLOOKUP(H3,$E$2:$E$25,$D$2:$D$25)</f>
        <v>戸田</v>
      </c>
      <c r="H3" s="1" t="s">
        <v>52</v>
      </c>
      <c r="I3" s="1" t="s">
        <v>295</v>
      </c>
      <c r="J3" s="1" t="s">
        <v>296</v>
      </c>
      <c r="K3" s="1" t="s">
        <v>80</v>
      </c>
      <c r="O3" s="1" t="s">
        <v>269</v>
      </c>
    </row>
    <row r="4" spans="2:15">
      <c r="B4" s="2" t="s">
        <v>6</v>
      </c>
      <c r="D4" s="1" t="s">
        <v>21</v>
      </c>
      <c r="E4" s="1" t="s">
        <v>20</v>
      </c>
      <c r="G4" s="1" t="str">
        <f t="shared" si="0"/>
        <v>江戸川</v>
      </c>
      <c r="H4" s="1" t="s">
        <v>22</v>
      </c>
      <c r="I4" s="1" t="s">
        <v>295</v>
      </c>
      <c r="J4" s="1" t="s">
        <v>296</v>
      </c>
      <c r="K4" s="1" t="s">
        <v>80</v>
      </c>
      <c r="O4" s="1" t="s">
        <v>270</v>
      </c>
    </row>
    <row r="5" spans="2:15">
      <c r="B5" s="2" t="s">
        <v>7</v>
      </c>
      <c r="D5" s="1" t="s">
        <v>23</v>
      </c>
      <c r="E5" s="1" t="s">
        <v>22</v>
      </c>
      <c r="G5" s="1" t="str">
        <f t="shared" si="0"/>
        <v>平和島</v>
      </c>
      <c r="H5" s="1" t="s">
        <v>30</v>
      </c>
      <c r="I5" s="1" t="s">
        <v>295</v>
      </c>
      <c r="J5" s="1" t="s">
        <v>296</v>
      </c>
      <c r="K5" s="1" t="s">
        <v>80</v>
      </c>
      <c r="O5" s="1" t="s">
        <v>271</v>
      </c>
    </row>
    <row r="6" spans="2:15">
      <c r="B6" s="2" t="s">
        <v>8</v>
      </c>
      <c r="D6" s="1" t="s">
        <v>25</v>
      </c>
      <c r="E6" s="1" t="s">
        <v>24</v>
      </c>
      <c r="G6" s="1" t="str">
        <f t="shared" si="0"/>
        <v>多摩川</v>
      </c>
      <c r="H6" s="1" t="s">
        <v>58</v>
      </c>
      <c r="I6" s="1" t="s">
        <v>295</v>
      </c>
      <c r="J6" s="1" t="s">
        <v>296</v>
      </c>
      <c r="K6" s="1" t="s">
        <v>81</v>
      </c>
      <c r="O6" s="1" t="s">
        <v>272</v>
      </c>
    </row>
    <row r="7" spans="2:15">
      <c r="B7" s="2" t="s">
        <v>9</v>
      </c>
      <c r="D7" s="1" t="s">
        <v>27</v>
      </c>
      <c r="E7" s="1" t="s">
        <v>26</v>
      </c>
      <c r="G7" s="1" t="str">
        <f t="shared" si="0"/>
        <v>浜名湖</v>
      </c>
      <c r="H7" s="1" t="s">
        <v>28</v>
      </c>
      <c r="I7" s="1" t="s">
        <v>295</v>
      </c>
      <c r="J7" s="1" t="s">
        <v>296</v>
      </c>
      <c r="K7" s="1" t="s">
        <v>81</v>
      </c>
      <c r="L7" s="1" t="s">
        <v>293</v>
      </c>
      <c r="O7" s="1" t="s">
        <v>273</v>
      </c>
    </row>
    <row r="8" spans="2:15">
      <c r="B8" s="2" t="s">
        <v>10</v>
      </c>
      <c r="D8" s="1" t="s">
        <v>29</v>
      </c>
      <c r="E8" s="1" t="s">
        <v>28</v>
      </c>
      <c r="G8" s="1" t="str">
        <f t="shared" si="0"/>
        <v>蒲郡</v>
      </c>
      <c r="H8" s="1" t="s">
        <v>26</v>
      </c>
      <c r="I8" s="1" t="s">
        <v>295</v>
      </c>
      <c r="J8" s="1" t="s">
        <v>296</v>
      </c>
      <c r="K8" s="1" t="s">
        <v>81</v>
      </c>
      <c r="L8" s="1" t="s">
        <v>293</v>
      </c>
      <c r="O8" s="1" t="s">
        <v>274</v>
      </c>
    </row>
    <row r="9" spans="2:15">
      <c r="B9" s="2" t="s">
        <v>11</v>
      </c>
      <c r="D9" s="1" t="s">
        <v>31</v>
      </c>
      <c r="E9" s="1" t="s">
        <v>30</v>
      </c>
      <c r="G9" s="1" t="str">
        <f t="shared" si="0"/>
        <v>常滑</v>
      </c>
      <c r="H9" s="1" t="s">
        <v>54</v>
      </c>
      <c r="I9" s="1" t="s">
        <v>295</v>
      </c>
      <c r="J9" s="1" t="s">
        <v>296</v>
      </c>
      <c r="K9" s="1" t="s">
        <v>81</v>
      </c>
      <c r="L9" s="1" t="s">
        <v>293</v>
      </c>
      <c r="O9" s="1" t="s">
        <v>275</v>
      </c>
    </row>
    <row r="10" spans="2:15">
      <c r="B10" s="2" t="s">
        <v>12</v>
      </c>
      <c r="D10" s="1" t="s">
        <v>33</v>
      </c>
      <c r="E10" s="1" t="s">
        <v>32</v>
      </c>
      <c r="G10" s="1" t="str">
        <f t="shared" si="0"/>
        <v>津</v>
      </c>
      <c r="H10" s="1" t="s">
        <v>60</v>
      </c>
      <c r="I10" s="1" t="s">
        <v>295</v>
      </c>
      <c r="J10" s="1" t="s">
        <v>296</v>
      </c>
      <c r="K10" s="1" t="s">
        <v>80</v>
      </c>
      <c r="L10" s="1" t="s">
        <v>294</v>
      </c>
      <c r="O10" s="1" t="s">
        <v>276</v>
      </c>
    </row>
    <row r="11" spans="2:15">
      <c r="B11" s="2" t="s">
        <v>13</v>
      </c>
      <c r="D11" s="1" t="s">
        <v>35</v>
      </c>
      <c r="E11" s="1" t="s">
        <v>34</v>
      </c>
      <c r="G11" s="1" t="str">
        <f t="shared" si="0"/>
        <v>三国</v>
      </c>
      <c r="H11" s="1" t="s">
        <v>38</v>
      </c>
      <c r="I11" s="1" t="s">
        <v>295</v>
      </c>
      <c r="J11" s="1" t="s">
        <v>296</v>
      </c>
      <c r="K11" s="1" t="s">
        <v>81</v>
      </c>
      <c r="L11" s="1" t="s">
        <v>293</v>
      </c>
      <c r="O11" s="1" t="s">
        <v>277</v>
      </c>
    </row>
    <row r="12" spans="2:15">
      <c r="B12" s="2" t="s">
        <v>14</v>
      </c>
      <c r="D12" s="1" t="s">
        <v>37</v>
      </c>
      <c r="E12" s="1" t="s">
        <v>36</v>
      </c>
      <c r="G12" s="1" t="str">
        <f t="shared" si="0"/>
        <v>びわこ</v>
      </c>
      <c r="H12" s="1" t="s">
        <v>20</v>
      </c>
      <c r="I12" s="1" t="s">
        <v>295</v>
      </c>
      <c r="J12" s="1" t="s">
        <v>296</v>
      </c>
      <c r="K12" s="1" t="s">
        <v>80</v>
      </c>
      <c r="L12" s="1" t="s">
        <v>294</v>
      </c>
      <c r="O12" s="1" t="s">
        <v>278</v>
      </c>
    </row>
    <row r="13" spans="2:15">
      <c r="B13" s="2" t="s">
        <v>15</v>
      </c>
      <c r="D13" s="1" t="s">
        <v>39</v>
      </c>
      <c r="E13" s="1" t="s">
        <v>38</v>
      </c>
      <c r="G13" s="1" t="str">
        <f t="shared" si="0"/>
        <v>住之江</v>
      </c>
      <c r="H13" s="1" t="s">
        <v>48</v>
      </c>
      <c r="I13" s="1" t="s">
        <v>295</v>
      </c>
      <c r="J13" s="1" t="s">
        <v>296</v>
      </c>
      <c r="K13" s="1" t="s">
        <v>80</v>
      </c>
      <c r="L13" s="1" t="s">
        <v>294</v>
      </c>
      <c r="O13" s="1" t="s">
        <v>279</v>
      </c>
    </row>
    <row r="14" spans="2:15">
      <c r="D14" s="1" t="s">
        <v>41</v>
      </c>
      <c r="E14" s="1" t="s">
        <v>40</v>
      </c>
      <c r="G14" s="1" t="str">
        <f t="shared" si="0"/>
        <v>尼崎</v>
      </c>
      <c r="H14" s="1" t="s">
        <v>16</v>
      </c>
      <c r="I14" s="1" t="s">
        <v>295</v>
      </c>
      <c r="J14" s="1" t="s">
        <v>296</v>
      </c>
      <c r="K14" s="1" t="s">
        <v>81</v>
      </c>
      <c r="L14" s="1" t="s">
        <v>293</v>
      </c>
      <c r="O14" s="1" t="s">
        <v>280</v>
      </c>
    </row>
    <row r="15" spans="2:15">
      <c r="D15" s="1" t="s">
        <v>43</v>
      </c>
      <c r="E15" s="1" t="s">
        <v>42</v>
      </c>
      <c r="G15" s="1" t="str">
        <f t="shared" si="0"/>
        <v>鳴門</v>
      </c>
      <c r="H15" s="1" t="s">
        <v>44</v>
      </c>
      <c r="I15" s="1" t="s">
        <v>295</v>
      </c>
      <c r="J15" s="1" t="s">
        <v>296</v>
      </c>
      <c r="K15" s="1" t="s">
        <v>81</v>
      </c>
      <c r="L15" s="1" t="s">
        <v>293</v>
      </c>
      <c r="O15" s="1" t="s">
        <v>281</v>
      </c>
    </row>
    <row r="16" spans="2:15">
      <c r="D16" s="1" t="s">
        <v>45</v>
      </c>
      <c r="E16" s="1" t="s">
        <v>44</v>
      </c>
      <c r="G16" s="1" t="str">
        <f t="shared" si="0"/>
        <v>丸亀</v>
      </c>
      <c r="H16" s="1" t="s">
        <v>40</v>
      </c>
      <c r="I16" s="1" t="s">
        <v>295</v>
      </c>
      <c r="J16" s="1" t="s">
        <v>296</v>
      </c>
      <c r="K16" s="1" t="s">
        <v>80</v>
      </c>
      <c r="L16" s="1" t="s">
        <v>294</v>
      </c>
      <c r="O16" s="1" t="s">
        <v>282</v>
      </c>
    </row>
    <row r="17" spans="4:15">
      <c r="D17" s="1" t="s">
        <v>47</v>
      </c>
      <c r="E17" s="1" t="s">
        <v>46</v>
      </c>
      <c r="G17" s="1" t="str">
        <f t="shared" si="0"/>
        <v>児島</v>
      </c>
      <c r="H17" s="1" t="s">
        <v>32</v>
      </c>
      <c r="I17" s="1" t="s">
        <v>295</v>
      </c>
      <c r="J17" s="1" t="s">
        <v>296</v>
      </c>
      <c r="K17" s="1" t="s">
        <v>80</v>
      </c>
      <c r="L17" s="1" t="s">
        <v>294</v>
      </c>
      <c r="O17" s="1" t="s">
        <v>283</v>
      </c>
    </row>
    <row r="18" spans="4:15">
      <c r="D18" s="1" t="s">
        <v>49</v>
      </c>
      <c r="E18" s="1" t="s">
        <v>48</v>
      </c>
      <c r="G18" s="1" t="str">
        <f t="shared" si="0"/>
        <v>宮島</v>
      </c>
      <c r="H18" s="1" t="s">
        <v>42</v>
      </c>
      <c r="I18" s="1" t="s">
        <v>295</v>
      </c>
      <c r="J18" s="1" t="s">
        <v>296</v>
      </c>
      <c r="K18" s="1" t="s">
        <v>80</v>
      </c>
      <c r="L18" s="1" t="s">
        <v>294</v>
      </c>
      <c r="O18" s="1" t="s">
        <v>284</v>
      </c>
    </row>
    <row r="19" spans="4:15">
      <c r="D19" s="1" t="s">
        <v>51</v>
      </c>
      <c r="E19" s="1" t="s">
        <v>50</v>
      </c>
      <c r="G19" s="1" t="str">
        <f t="shared" si="0"/>
        <v>徳山</v>
      </c>
      <c r="H19" s="1" t="s">
        <v>56</v>
      </c>
      <c r="I19" s="1" t="s">
        <v>295</v>
      </c>
      <c r="J19" s="1" t="s">
        <v>296</v>
      </c>
      <c r="K19" s="1" t="s">
        <v>81</v>
      </c>
      <c r="L19" s="1" t="s">
        <v>293</v>
      </c>
      <c r="O19" s="1" t="s">
        <v>285</v>
      </c>
    </row>
    <row r="20" spans="4:15">
      <c r="D20" s="1" t="s">
        <v>53</v>
      </c>
      <c r="E20" s="1" t="s">
        <v>52</v>
      </c>
      <c r="G20" s="1" t="str">
        <f t="shared" si="0"/>
        <v>下関</v>
      </c>
      <c r="H20" s="1" t="s">
        <v>50</v>
      </c>
      <c r="I20" s="1" t="s">
        <v>295</v>
      </c>
      <c r="J20" s="1" t="s">
        <v>296</v>
      </c>
      <c r="K20" s="1" t="s">
        <v>81</v>
      </c>
      <c r="L20" s="1" t="s">
        <v>293</v>
      </c>
      <c r="O20" s="1" t="s">
        <v>286</v>
      </c>
    </row>
    <row r="21" spans="4:15">
      <c r="D21" s="1" t="s">
        <v>55</v>
      </c>
      <c r="E21" s="1" t="s">
        <v>54</v>
      </c>
      <c r="G21" s="1" t="str">
        <f t="shared" si="0"/>
        <v>若松</v>
      </c>
      <c r="H21" s="1" t="s">
        <v>62</v>
      </c>
      <c r="I21" s="1" t="s">
        <v>295</v>
      </c>
      <c r="J21" s="1" t="s">
        <v>296</v>
      </c>
      <c r="K21" s="1" t="s">
        <v>81</v>
      </c>
      <c r="L21" s="1" t="s">
        <v>293</v>
      </c>
      <c r="O21" s="1" t="s">
        <v>287</v>
      </c>
    </row>
    <row r="22" spans="4:15">
      <c r="D22" s="1" t="s">
        <v>57</v>
      </c>
      <c r="E22" s="1" t="s">
        <v>56</v>
      </c>
      <c r="G22" s="1" t="str">
        <f t="shared" si="0"/>
        <v>芦屋</v>
      </c>
      <c r="H22" s="1" t="s">
        <v>18</v>
      </c>
      <c r="I22" s="1" t="s">
        <v>295</v>
      </c>
      <c r="J22" s="1" t="s">
        <v>296</v>
      </c>
      <c r="K22" s="1" t="s">
        <v>81</v>
      </c>
      <c r="L22" s="1" t="s">
        <v>293</v>
      </c>
      <c r="O22" s="1" t="s">
        <v>288</v>
      </c>
    </row>
    <row r="23" spans="4:15">
      <c r="D23" s="1" t="s">
        <v>59</v>
      </c>
      <c r="E23" s="1" t="s">
        <v>58</v>
      </c>
      <c r="G23" s="1" t="str">
        <f t="shared" si="0"/>
        <v>福岡</v>
      </c>
      <c r="H23" s="1" t="s">
        <v>24</v>
      </c>
      <c r="I23" s="1" t="s">
        <v>295</v>
      </c>
      <c r="J23" s="1" t="s">
        <v>296</v>
      </c>
      <c r="K23" s="1" t="s">
        <v>80</v>
      </c>
      <c r="L23" s="1" t="s">
        <v>294</v>
      </c>
      <c r="O23" s="1" t="s">
        <v>289</v>
      </c>
    </row>
    <row r="24" spans="4:15">
      <c r="D24" s="1" t="s">
        <v>61</v>
      </c>
      <c r="E24" s="1" t="s">
        <v>60</v>
      </c>
      <c r="G24" s="1" t="str">
        <f t="shared" si="0"/>
        <v>唐津</v>
      </c>
      <c r="H24" s="1" t="s">
        <v>34</v>
      </c>
      <c r="I24" s="1" t="s">
        <v>295</v>
      </c>
      <c r="J24" s="1" t="s">
        <v>296</v>
      </c>
      <c r="K24" s="1" t="s">
        <v>80</v>
      </c>
      <c r="L24" s="1" t="s">
        <v>294</v>
      </c>
      <c r="O24" s="1" t="s">
        <v>290</v>
      </c>
    </row>
    <row r="25" spans="4:15">
      <c r="D25" s="1" t="s">
        <v>63</v>
      </c>
      <c r="E25" s="1" t="s">
        <v>62</v>
      </c>
      <c r="G25" s="1" t="str">
        <f t="shared" si="0"/>
        <v>大村</v>
      </c>
      <c r="H25" s="1" t="s">
        <v>46</v>
      </c>
      <c r="I25" s="1" t="s">
        <v>295</v>
      </c>
      <c r="J25" s="1" t="s">
        <v>296</v>
      </c>
      <c r="K25" s="1" t="s">
        <v>299</v>
      </c>
      <c r="O25" s="1" t="s">
        <v>291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INPUTイメージ</vt:lpstr>
      <vt:lpstr>INPUT</vt:lpstr>
      <vt:lpstr>展示取り込み</vt:lpstr>
      <vt:lpstr>非表示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善幸宮崎</dc:creator>
  <cp:lastModifiedBy>宮崎 善幸</cp:lastModifiedBy>
  <dcterms:created xsi:type="dcterms:W3CDTF">2015-06-05T18:19:34Z</dcterms:created>
  <dcterms:modified xsi:type="dcterms:W3CDTF">2026-04-26T10:22:26Z</dcterms:modified>
</cp:coreProperties>
</file>